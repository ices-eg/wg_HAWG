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GIT\HAWG\NSAS\data\"/>
    </mc:Choice>
  </mc:AlternateContent>
  <bookViews>
    <workbookView xWindow="2565" yWindow="7995" windowWidth="15585" windowHeight="6480" tabRatio="690" activeTab="7"/>
  </bookViews>
  <sheets>
    <sheet name="index" sheetId="19" r:id="rId1"/>
    <sheet name="caton" sheetId="2" r:id="rId2"/>
    <sheet name="canum" sheetId="1" r:id="rId3"/>
    <sheet name="weca" sheetId="5" r:id="rId4"/>
    <sheet name="west_raw" sheetId="9" r:id="rId5"/>
    <sheet name="west" sheetId="8" r:id="rId6"/>
    <sheet name="natmor" sheetId="18" r:id="rId7"/>
    <sheet name="natmor2" sheetId="21" r:id="rId8"/>
    <sheet name="matprop" sheetId="16" r:id="rId9"/>
    <sheet name="fprop" sheetId="3" r:id="rId10"/>
    <sheet name="mprop" sheetId="13" r:id="rId11"/>
    <sheet name="fleet" sheetId="17" r:id="rId12"/>
    <sheet name="lai" sheetId="4" r:id="rId13"/>
  </sheets>
  <definedNames>
    <definedName name="_xlnm.Print_Area" localSheetId="2">canum!$B$1:$K$45</definedName>
    <definedName name="_xlnm.Print_Area" localSheetId="1">caton!$B$1:$K$45</definedName>
    <definedName name="_xlnm.Print_Area" localSheetId="11">fleet!$B$1:$S$94</definedName>
    <definedName name="_xlnm.Print_Area" localSheetId="12">lai!$B$1:$M$30</definedName>
    <definedName name="_xlnm.Print_Area" localSheetId="8">matprop!$B$1:$K$45</definedName>
    <definedName name="_xlnm.Print_Area" localSheetId="3">weca!$B$1:$K$45</definedName>
    <definedName name="_xlnm.Print_Area" localSheetId="5">west!$L$5:$T$60</definedName>
    <definedName name="_xlnm.Print_Area" localSheetId="4">west_raw!$B$1:$K$45</definedName>
  </definedNames>
  <calcPr calcId="152511"/>
</workbook>
</file>

<file path=xl/calcChain.xml><?xml version="1.0" encoding="utf-8"?>
<calcChain xmlns="http://schemas.openxmlformats.org/spreadsheetml/2006/main">
  <c r="C4" i="21" l="1"/>
  <c r="C3" i="21"/>
  <c r="G1" i="21"/>
  <c r="F1" i="21"/>
  <c r="C72" i="17"/>
  <c r="C35" i="17"/>
  <c r="C3" i="2" l="1"/>
  <c r="A342" i="4" l="1"/>
  <c r="A343" i="4"/>
  <c r="A344" i="4"/>
  <c r="A345" i="4"/>
  <c r="A346" i="4"/>
  <c r="A347" i="4"/>
  <c r="A348" i="4"/>
  <c r="C3" i="9"/>
  <c r="G1" i="19"/>
  <c r="F1" i="19"/>
  <c r="F1" i="2"/>
  <c r="E1" i="2"/>
  <c r="A341" i="4" l="1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77" i="17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75" i="17"/>
  <c r="A76" i="17" s="1"/>
  <c r="A40" i="17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38" i="17"/>
  <c r="A39" i="17" s="1"/>
  <c r="A9" i="17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8" i="17"/>
  <c r="A7" i="17"/>
  <c r="C4" i="17" l="1"/>
  <c r="C4" i="9"/>
  <c r="C4" i="5"/>
  <c r="C4" i="1"/>
  <c r="C4" i="16"/>
  <c r="C4" i="18"/>
  <c r="B3" i="13"/>
  <c r="B3" i="3"/>
  <c r="B3" i="8"/>
  <c r="C3" i="8" s="1"/>
  <c r="B3" i="9"/>
  <c r="B3" i="5"/>
  <c r="C3" i="5" s="1"/>
  <c r="B3" i="18"/>
  <c r="C3" i="18" s="1"/>
  <c r="B3" i="16"/>
  <c r="C3" i="16" s="1"/>
  <c r="B3" i="1"/>
  <c r="C3" i="1" s="1"/>
  <c r="E1" i="1"/>
  <c r="F1" i="1"/>
  <c r="E1" i="16"/>
  <c r="F1" i="16"/>
  <c r="F1" i="18"/>
  <c r="G1" i="18"/>
  <c r="F1" i="5"/>
  <c r="G1" i="5"/>
  <c r="F1" i="9"/>
  <c r="G1" i="9"/>
  <c r="G1" i="8"/>
  <c r="H1" i="8"/>
  <c r="F1" i="3"/>
  <c r="G1" i="3"/>
  <c r="F1" i="13"/>
  <c r="G1" i="13"/>
  <c r="C4" i="8"/>
  <c r="C3" i="13" l="1"/>
  <c r="C3" i="3"/>
</calcChain>
</file>

<file path=xl/comments1.xml><?xml version="1.0" encoding="utf-8"?>
<comments xmlns="http://schemas.openxmlformats.org/spreadsheetml/2006/main">
  <authors>
    <author>RIVOUSER</author>
  </authors>
  <commentList>
    <comment ref="B48" authorId="0" shapeId="0">
      <text>
        <r>
          <rPr>
            <b/>
            <sz val="8"/>
            <color indexed="81"/>
            <rFont val="Tahoma"/>
            <family val="2"/>
          </rPr>
          <t>10/3/2003; acoustic index 2002</t>
        </r>
      </text>
    </comment>
  </commentList>
</comments>
</file>

<file path=xl/sharedStrings.xml><?xml version="1.0" encoding="utf-8"?>
<sst xmlns="http://schemas.openxmlformats.org/spreadsheetml/2006/main" count="1300" uniqueCount="121">
  <si>
    <t>Catch in Numbers (thousands)</t>
  </si>
  <si>
    <t>Landings</t>
  </si>
  <si>
    <t>(tonnes)</t>
  </si>
  <si>
    <t>Herring in Sub-area IV, Divisions VIId &amp; IIIa (autumn-spawners)</t>
  </si>
  <si>
    <t>Proportion of M before spawning</t>
  </si>
  <si>
    <t>Proportion of F before spawning</t>
  </si>
  <si>
    <t>Natural Mortality</t>
  </si>
  <si>
    <t>Mean Weight in Catch (kilograms)</t>
  </si>
  <si>
    <t>Mean Weight in Stock (3 yr mean, kilograms)</t>
  </si>
  <si>
    <t>Mean Weight in Stock (kilograms)</t>
  </si>
  <si>
    <t>Proportion mature at spawning</t>
  </si>
  <si>
    <t>caton.txt</t>
  </si>
  <si>
    <t>canum.txt</t>
  </si>
  <si>
    <t>weca.txt</t>
  </si>
  <si>
    <t>west.txt</t>
  </si>
  <si>
    <t>natmor.txt</t>
  </si>
  <si>
    <t>matprop.txt</t>
  </si>
  <si>
    <t>fprop.txt</t>
  </si>
  <si>
    <t>mprop.txt</t>
  </si>
  <si>
    <t>Autumn spawning herring in IV, VIId and IIIa</t>
  </si>
  <si>
    <t>#1947</t>
  </si>
  <si>
    <t>#1948</t>
  </si>
  <si>
    <t>#1949</t>
  </si>
  <si>
    <t>#1950</t>
  </si>
  <si>
    <t>#1951</t>
  </si>
  <si>
    <t>#1952</t>
  </si>
  <si>
    <t>#1953</t>
  </si>
  <si>
    <t>#1954</t>
  </si>
  <si>
    <t>#1955</t>
  </si>
  <si>
    <t>#1956</t>
  </si>
  <si>
    <t>#1957</t>
  </si>
  <si>
    <t>#1958</t>
  </si>
  <si>
    <t>#1959</t>
  </si>
  <si>
    <t>NA</t>
  </si>
  <si>
    <t>#1960</t>
  </si>
  <si>
    <t>#1961</t>
  </si>
  <si>
    <t>#1962</t>
  </si>
  <si>
    <t>#1963</t>
  </si>
  <si>
    <t>#1964</t>
  </si>
  <si>
    <t>#1965</t>
  </si>
  <si>
    <t>#1966</t>
  </si>
  <si>
    <t>#1967</t>
  </si>
  <si>
    <t>#1968</t>
  </si>
  <si>
    <t>#1969</t>
  </si>
  <si>
    <t>#1970</t>
  </si>
  <si>
    <t>#1971</t>
  </si>
  <si>
    <t>#1972</t>
  </si>
  <si>
    <t>#1973</t>
  </si>
  <si>
    <t>#1974</t>
  </si>
  <si>
    <t>#1975</t>
  </si>
  <si>
    <t>#1976</t>
  </si>
  <si>
    <t>#1977</t>
  </si>
  <si>
    <t>HERAS Acoustic survey 2-9+ wr</t>
  </si>
  <si>
    <t>IBTS Q1</t>
  </si>
  <si>
    <t>IBTS0 (MIK)</t>
  </si>
  <si>
    <t>Year</t>
  </si>
  <si>
    <t>LAIUnit</t>
  </si>
  <si>
    <t>Area</t>
  </si>
  <si>
    <t>Fortnight</t>
  </si>
  <si>
    <t>L&lt;=9</t>
  </si>
  <si>
    <t>B1</t>
  </si>
  <si>
    <t>Or/Sh</t>
  </si>
  <si>
    <t>01-15Sep</t>
  </si>
  <si>
    <t>B2</t>
  </si>
  <si>
    <t>16-30Sep</t>
  </si>
  <si>
    <t>C1</t>
  </si>
  <si>
    <t>Buchan</t>
  </si>
  <si>
    <t>C2</t>
  </si>
  <si>
    <t>D1</t>
  </si>
  <si>
    <t>CNS</t>
  </si>
  <si>
    <t>D2</t>
  </si>
  <si>
    <t>D3</t>
  </si>
  <si>
    <t>01-15Oct</t>
  </si>
  <si>
    <t>D4</t>
  </si>
  <si>
    <t>16-31Oct</t>
  </si>
  <si>
    <t>E6</t>
  </si>
  <si>
    <t>SNS</t>
  </si>
  <si>
    <t>16-31Dec</t>
  </si>
  <si>
    <t>E7</t>
  </si>
  <si>
    <t>01-15Jan</t>
  </si>
  <si>
    <t>E8</t>
  </si>
  <si>
    <t>16-31Jan</t>
  </si>
  <si>
    <t>#1978</t>
  </si>
  <si>
    <t>#1979</t>
  </si>
  <si>
    <t>#1980</t>
  </si>
  <si>
    <t>#1981</t>
  </si>
  <si>
    <t>#1982</t>
  </si>
  <si>
    <t>#1983</t>
  </si>
  <si>
    <t>#1984</t>
  </si>
  <si>
    <t>#1985</t>
  </si>
  <si>
    <t>#1986</t>
  </si>
  <si>
    <t>#1987</t>
  </si>
  <si>
    <t>#1988</t>
  </si>
  <si>
    <t>#1989</t>
  </si>
  <si>
    <t>#1990</t>
  </si>
  <si>
    <t>#1991</t>
  </si>
  <si>
    <t>#1992</t>
  </si>
  <si>
    <t>#1993</t>
  </si>
  <si>
    <t>#1994</t>
  </si>
  <si>
    <t>#1995</t>
  </si>
  <si>
    <t>#1996</t>
  </si>
  <si>
    <t>#1997</t>
  </si>
  <si>
    <t>#1998</t>
  </si>
  <si>
    <t>#1999</t>
  </si>
  <si>
    <t>#2000</t>
  </si>
  <si>
    <t>#2001</t>
  </si>
  <si>
    <t>#2002</t>
  </si>
  <si>
    <t>#2003</t>
  </si>
  <si>
    <t>#2004</t>
  </si>
  <si>
    <t>#2005</t>
  </si>
  <si>
    <t>#2006</t>
  </si>
  <si>
    <t>#2007</t>
  </si>
  <si>
    <t>#2008</t>
  </si>
  <si>
    <t>#2009</t>
  </si>
  <si>
    <t>#2010</t>
  </si>
  <si>
    <t>#2011</t>
  </si>
  <si>
    <t>#2012</t>
  </si>
  <si>
    <t>#2013</t>
  </si>
  <si>
    <t>#2014</t>
  </si>
  <si>
    <t>#2015</t>
  </si>
  <si>
    <t>Multispecies Natural Mortality, 2015 key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</si>
</sst>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h:mm;@"/>
  </numFmts>
  <fonts count="13" x14ac:knownFonts="1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61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theme="0" tint="-0.249977111117893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/>
    <xf numFmtId="0" fontId="4" fillId="0" borderId="0" xfId="0" applyFont="1"/>
    <xf numFmtId="164" fontId="0" fillId="0" borderId="0" xfId="0" applyNumberFormat="1"/>
    <xf numFmtId="2" fontId="0" fillId="0" borderId="0" xfId="0" applyNumberFormat="1"/>
    <xf numFmtId="0" fontId="3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Border="1"/>
    <xf numFmtId="1" fontId="0" fillId="0" borderId="0" xfId="0" applyNumberFormat="1"/>
    <xf numFmtId="1" fontId="3" fillId="0" borderId="0" xfId="0" applyNumberFormat="1" applyFont="1"/>
    <xf numFmtId="14" fontId="0" fillId="0" borderId="0" xfId="0" applyNumberFormat="1"/>
    <xf numFmtId="20" fontId="0" fillId="0" borderId="0" xfId="0" applyNumberFormat="1"/>
    <xf numFmtId="164" fontId="4" fillId="0" borderId="0" xfId="0" applyNumberFormat="1" applyFont="1"/>
    <xf numFmtId="0" fontId="0" fillId="0" borderId="0" xfId="0" quotePrefix="1"/>
    <xf numFmtId="165" fontId="3" fillId="0" borderId="0" xfId="0" applyNumberFormat="1" applyFont="1"/>
    <xf numFmtId="3" fontId="0" fillId="0" borderId="0" xfId="0" applyNumberFormat="1"/>
    <xf numFmtId="0" fontId="0" fillId="0" borderId="0" xfId="0" applyNumberFormat="1"/>
    <xf numFmtId="0" fontId="4" fillId="0" borderId="0" xfId="0" applyFont="1" applyFill="1"/>
    <xf numFmtId="2" fontId="4" fillId="0" borderId="0" xfId="0" applyNumberFormat="1" applyFont="1" applyFill="1"/>
    <xf numFmtId="2" fontId="3" fillId="0" borderId="0" xfId="0" applyNumberFormat="1" applyFont="1" applyBorder="1"/>
    <xf numFmtId="3" fontId="0" fillId="0" borderId="0" xfId="0" applyNumberFormat="1" applyBorder="1"/>
    <xf numFmtId="165" fontId="4" fillId="0" borderId="0" xfId="0" applyNumberFormat="1" applyFont="1"/>
    <xf numFmtId="164" fontId="3" fillId="0" borderId="0" xfId="0" applyNumberFormat="1" applyFont="1"/>
    <xf numFmtId="164" fontId="6" fillId="0" borderId="0" xfId="0" applyNumberFormat="1" applyFont="1"/>
    <xf numFmtId="165" fontId="0" fillId="0" borderId="0" xfId="0" applyNumberFormat="1"/>
    <xf numFmtId="1" fontId="2" fillId="0" borderId="0" xfId="0" applyNumberFormat="1" applyFont="1" applyAlignment="1">
      <alignment horizontal="center"/>
    </xf>
    <xf numFmtId="164" fontId="8" fillId="0" borderId="0" xfId="0" applyNumberFormat="1" applyFont="1"/>
    <xf numFmtId="0" fontId="1" fillId="0" borderId="0" xfId="0" applyFont="1"/>
    <xf numFmtId="1" fontId="1" fillId="0" borderId="0" xfId="0" applyNumberFormat="1" applyFont="1"/>
    <xf numFmtId="0" fontId="0" fillId="0" borderId="0" xfId="0" applyAlignment="1">
      <alignment horizontal="right"/>
    </xf>
    <xf numFmtId="1" fontId="1" fillId="0" borderId="0" xfId="0" applyNumberFormat="1" applyFont="1" applyFill="1"/>
    <xf numFmtId="0" fontId="1" fillId="0" borderId="0" xfId="0" applyFont="1" applyFill="1"/>
    <xf numFmtId="0" fontId="1" fillId="0" borderId="0" xfId="0" applyNumberFormat="1" applyFont="1" applyFill="1"/>
    <xf numFmtId="0" fontId="1" fillId="0" borderId="0" xfId="0" applyFont="1" applyFill="1" applyAlignment="1">
      <alignment horizontal="right"/>
    </xf>
    <xf numFmtId="1" fontId="9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3" fontId="1" fillId="0" borderId="0" xfId="0" applyNumberFormat="1" applyFont="1"/>
    <xf numFmtId="165" fontId="1" fillId="0" borderId="0" xfId="0" applyNumberFormat="1" applyFont="1"/>
    <xf numFmtId="0" fontId="1" fillId="2" borderId="0" xfId="0" applyFont="1" applyFill="1"/>
    <xf numFmtId="165" fontId="1" fillId="0" borderId="0" xfId="0" applyNumberFormat="1" applyFont="1" applyBorder="1"/>
    <xf numFmtId="0" fontId="1" fillId="0" borderId="0" xfId="0" applyFont="1" applyBorder="1"/>
    <xf numFmtId="165" fontId="1" fillId="0" borderId="0" xfId="0" applyNumberFormat="1" applyFont="1" applyBorder="1" applyAlignment="1">
      <alignment horizontal="right"/>
    </xf>
    <xf numFmtId="2" fontId="1" fillId="0" borderId="0" xfId="0" applyNumberFormat="1" applyFont="1" applyBorder="1"/>
    <xf numFmtId="0" fontId="0" fillId="3" borderId="0" xfId="0" applyFill="1"/>
    <xf numFmtId="0" fontId="0" fillId="3" borderId="0" xfId="0" applyFill="1" applyAlignment="1">
      <alignment horizontal="center"/>
    </xf>
    <xf numFmtId="0" fontId="1" fillId="3" borderId="0" xfId="0" applyFont="1" applyFill="1"/>
    <xf numFmtId="166" fontId="0" fillId="0" borderId="0" xfId="0" applyNumberFormat="1"/>
    <xf numFmtId="1" fontId="9" fillId="0" borderId="0" xfId="0" applyNumberFormat="1" applyFont="1"/>
    <xf numFmtId="0" fontId="11" fillId="0" borderId="0" xfId="0" applyFont="1"/>
    <xf numFmtId="0" fontId="12" fillId="0" borderId="0" xfId="0" applyFont="1"/>
    <xf numFmtId="165" fontId="1" fillId="0" borderId="0" xfId="0" applyNumberFormat="1" applyFont="1" applyFill="1" applyAlignment="1">
      <alignment horizontal="right"/>
    </xf>
    <xf numFmtId="0" fontId="12" fillId="3" borderId="0" xfId="0" applyFont="1" applyFill="1"/>
    <xf numFmtId="164" fontId="12" fillId="0" borderId="0" xfId="0" applyNumberFormat="1" applyFont="1"/>
    <xf numFmtId="164" fontId="7" fillId="0" borderId="0" xfId="0" applyNumberFormat="1" applyFont="1" applyAlignment="1">
      <alignment horizontal="righ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natmor2!$A$6:$A$45</c:f>
              <c:numCache>
                <c:formatCode>General</c:formatCode>
                <c:ptCount val="40"/>
                <c:pt idx="0">
                  <c:v>1974</c:v>
                </c:pt>
                <c:pt idx="1">
                  <c:v>1975</c:v>
                </c:pt>
                <c:pt idx="2">
                  <c:v>1976</c:v>
                </c:pt>
                <c:pt idx="3">
                  <c:v>1977</c:v>
                </c:pt>
                <c:pt idx="4">
                  <c:v>1978</c:v>
                </c:pt>
                <c:pt idx="5">
                  <c:v>1979</c:v>
                </c:pt>
                <c:pt idx="6">
                  <c:v>1980</c:v>
                </c:pt>
                <c:pt idx="7">
                  <c:v>1981</c:v>
                </c:pt>
                <c:pt idx="8">
                  <c:v>1982</c:v>
                </c:pt>
                <c:pt idx="9">
                  <c:v>1983</c:v>
                </c:pt>
                <c:pt idx="10">
                  <c:v>1984</c:v>
                </c:pt>
                <c:pt idx="11">
                  <c:v>1985</c:v>
                </c:pt>
                <c:pt idx="12">
                  <c:v>1986</c:v>
                </c:pt>
                <c:pt idx="13">
                  <c:v>1987</c:v>
                </c:pt>
                <c:pt idx="14">
                  <c:v>1988</c:v>
                </c:pt>
                <c:pt idx="15">
                  <c:v>1989</c:v>
                </c:pt>
                <c:pt idx="16">
                  <c:v>1990</c:v>
                </c:pt>
                <c:pt idx="17">
                  <c:v>1991</c:v>
                </c:pt>
                <c:pt idx="18">
                  <c:v>1992</c:v>
                </c:pt>
                <c:pt idx="19">
                  <c:v>1993</c:v>
                </c:pt>
                <c:pt idx="20">
                  <c:v>1994</c:v>
                </c:pt>
                <c:pt idx="21">
                  <c:v>1995</c:v>
                </c:pt>
                <c:pt idx="22">
                  <c:v>1996</c:v>
                </c:pt>
                <c:pt idx="23">
                  <c:v>1997</c:v>
                </c:pt>
                <c:pt idx="24">
                  <c:v>1998</c:v>
                </c:pt>
                <c:pt idx="25">
                  <c:v>1999</c:v>
                </c:pt>
                <c:pt idx="26">
                  <c:v>2000</c:v>
                </c:pt>
                <c:pt idx="27">
                  <c:v>2001</c:v>
                </c:pt>
                <c:pt idx="28">
                  <c:v>2002</c:v>
                </c:pt>
                <c:pt idx="29">
                  <c:v>2003</c:v>
                </c:pt>
                <c:pt idx="30">
                  <c:v>2004</c:v>
                </c:pt>
                <c:pt idx="31">
                  <c:v>2005</c:v>
                </c:pt>
                <c:pt idx="32">
                  <c:v>2006</c:v>
                </c:pt>
                <c:pt idx="33">
                  <c:v>2007</c:v>
                </c:pt>
                <c:pt idx="34">
                  <c:v>2008</c:v>
                </c:pt>
                <c:pt idx="35">
                  <c:v>2009</c:v>
                </c:pt>
                <c:pt idx="36">
                  <c:v>2010</c:v>
                </c:pt>
                <c:pt idx="37">
                  <c:v>2011</c:v>
                </c:pt>
                <c:pt idx="38">
                  <c:v>2012</c:v>
                </c:pt>
                <c:pt idx="39">
                  <c:v>2013</c:v>
                </c:pt>
              </c:numCache>
            </c:numRef>
          </c:xVal>
          <c:yVal>
            <c:numRef>
              <c:f>natmor2!$B$6:$B$45</c:f>
              <c:numCache>
                <c:formatCode>General</c:formatCode>
                <c:ptCount val="40"/>
                <c:pt idx="0">
                  <c:v>0.91400000000000003</c:v>
                </c:pt>
                <c:pt idx="1">
                  <c:v>0.86699999999999999</c:v>
                </c:pt>
                <c:pt idx="2">
                  <c:v>0.94399999999999995</c:v>
                </c:pt>
                <c:pt idx="3">
                  <c:v>0.91500000000000004</c:v>
                </c:pt>
                <c:pt idx="4">
                  <c:v>0.81799999999999995</c:v>
                </c:pt>
                <c:pt idx="5">
                  <c:v>0.72699999999999998</c:v>
                </c:pt>
                <c:pt idx="6">
                  <c:v>0.91500000000000004</c:v>
                </c:pt>
                <c:pt idx="7">
                  <c:v>0.92700000000000005</c:v>
                </c:pt>
                <c:pt idx="8">
                  <c:v>0.871</c:v>
                </c:pt>
                <c:pt idx="9">
                  <c:v>0.77600000000000002</c:v>
                </c:pt>
                <c:pt idx="10">
                  <c:v>0.80800000000000005</c:v>
                </c:pt>
                <c:pt idx="11">
                  <c:v>0.70699999999999996</c:v>
                </c:pt>
                <c:pt idx="12">
                  <c:v>0.69399999999999995</c:v>
                </c:pt>
                <c:pt idx="13">
                  <c:v>0.79400000000000004</c:v>
                </c:pt>
                <c:pt idx="14">
                  <c:v>0.7</c:v>
                </c:pt>
                <c:pt idx="15">
                  <c:v>0.76500000000000001</c:v>
                </c:pt>
                <c:pt idx="16">
                  <c:v>0.73</c:v>
                </c:pt>
                <c:pt idx="17">
                  <c:v>0.72199999999999998</c:v>
                </c:pt>
                <c:pt idx="18">
                  <c:v>0.68899999999999995</c:v>
                </c:pt>
                <c:pt idx="19">
                  <c:v>0.67200000000000004</c:v>
                </c:pt>
                <c:pt idx="20">
                  <c:v>0.66600000000000004</c:v>
                </c:pt>
                <c:pt idx="21">
                  <c:v>0.72899999999999998</c:v>
                </c:pt>
                <c:pt idx="22">
                  <c:v>0.64300000000000002</c:v>
                </c:pt>
                <c:pt idx="23">
                  <c:v>0.77100000000000002</c:v>
                </c:pt>
                <c:pt idx="24">
                  <c:v>0.76</c:v>
                </c:pt>
                <c:pt idx="25">
                  <c:v>0.72499999999999998</c:v>
                </c:pt>
                <c:pt idx="26">
                  <c:v>0.71599999999999997</c:v>
                </c:pt>
                <c:pt idx="27">
                  <c:v>0.69799999999999995</c:v>
                </c:pt>
                <c:pt idx="28">
                  <c:v>0.85199999999999998</c:v>
                </c:pt>
                <c:pt idx="29">
                  <c:v>0.88600000000000001</c:v>
                </c:pt>
                <c:pt idx="30">
                  <c:v>0.83799999999999997</c:v>
                </c:pt>
                <c:pt idx="31">
                  <c:v>0.85599999999999998</c:v>
                </c:pt>
                <c:pt idx="32">
                  <c:v>0.80500000000000005</c:v>
                </c:pt>
                <c:pt idx="33">
                  <c:v>0.80900000000000005</c:v>
                </c:pt>
                <c:pt idx="34">
                  <c:v>0.78200000000000003</c:v>
                </c:pt>
                <c:pt idx="35">
                  <c:v>0.70099999999999996</c:v>
                </c:pt>
                <c:pt idx="36">
                  <c:v>0.76600000000000001</c:v>
                </c:pt>
                <c:pt idx="37">
                  <c:v>0.90800000000000003</c:v>
                </c:pt>
                <c:pt idx="38">
                  <c:v>0.89600000000000002</c:v>
                </c:pt>
                <c:pt idx="39">
                  <c:v>0.76900000000000002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natmor2!$A$6:$A$45</c:f>
              <c:numCache>
                <c:formatCode>General</c:formatCode>
                <c:ptCount val="40"/>
                <c:pt idx="0">
                  <c:v>1974</c:v>
                </c:pt>
                <c:pt idx="1">
                  <c:v>1975</c:v>
                </c:pt>
                <c:pt idx="2">
                  <c:v>1976</c:v>
                </c:pt>
                <c:pt idx="3">
                  <c:v>1977</c:v>
                </c:pt>
                <c:pt idx="4">
                  <c:v>1978</c:v>
                </c:pt>
                <c:pt idx="5">
                  <c:v>1979</c:v>
                </c:pt>
                <c:pt idx="6">
                  <c:v>1980</c:v>
                </c:pt>
                <c:pt idx="7">
                  <c:v>1981</c:v>
                </c:pt>
                <c:pt idx="8">
                  <c:v>1982</c:v>
                </c:pt>
                <c:pt idx="9">
                  <c:v>1983</c:v>
                </c:pt>
                <c:pt idx="10">
                  <c:v>1984</c:v>
                </c:pt>
                <c:pt idx="11">
                  <c:v>1985</c:v>
                </c:pt>
                <c:pt idx="12">
                  <c:v>1986</c:v>
                </c:pt>
                <c:pt idx="13">
                  <c:v>1987</c:v>
                </c:pt>
                <c:pt idx="14">
                  <c:v>1988</c:v>
                </c:pt>
                <c:pt idx="15">
                  <c:v>1989</c:v>
                </c:pt>
                <c:pt idx="16">
                  <c:v>1990</c:v>
                </c:pt>
                <c:pt idx="17">
                  <c:v>1991</c:v>
                </c:pt>
                <c:pt idx="18">
                  <c:v>1992</c:v>
                </c:pt>
                <c:pt idx="19">
                  <c:v>1993</c:v>
                </c:pt>
                <c:pt idx="20">
                  <c:v>1994</c:v>
                </c:pt>
                <c:pt idx="21">
                  <c:v>1995</c:v>
                </c:pt>
                <c:pt idx="22">
                  <c:v>1996</c:v>
                </c:pt>
                <c:pt idx="23">
                  <c:v>1997</c:v>
                </c:pt>
                <c:pt idx="24">
                  <c:v>1998</c:v>
                </c:pt>
                <c:pt idx="25">
                  <c:v>1999</c:v>
                </c:pt>
                <c:pt idx="26">
                  <c:v>2000</c:v>
                </c:pt>
                <c:pt idx="27">
                  <c:v>2001</c:v>
                </c:pt>
                <c:pt idx="28">
                  <c:v>2002</c:v>
                </c:pt>
                <c:pt idx="29">
                  <c:v>2003</c:v>
                </c:pt>
                <c:pt idx="30">
                  <c:v>2004</c:v>
                </c:pt>
                <c:pt idx="31">
                  <c:v>2005</c:v>
                </c:pt>
                <c:pt idx="32">
                  <c:v>2006</c:v>
                </c:pt>
                <c:pt idx="33">
                  <c:v>2007</c:v>
                </c:pt>
                <c:pt idx="34">
                  <c:v>2008</c:v>
                </c:pt>
                <c:pt idx="35">
                  <c:v>2009</c:v>
                </c:pt>
                <c:pt idx="36">
                  <c:v>2010</c:v>
                </c:pt>
                <c:pt idx="37">
                  <c:v>2011</c:v>
                </c:pt>
                <c:pt idx="38">
                  <c:v>2012</c:v>
                </c:pt>
                <c:pt idx="39">
                  <c:v>2013</c:v>
                </c:pt>
              </c:numCache>
            </c:numRef>
          </c:xVal>
          <c:yVal>
            <c:numRef>
              <c:f>natmor2!$C$6:$C$45</c:f>
              <c:numCache>
                <c:formatCode>General</c:formatCode>
                <c:ptCount val="40"/>
                <c:pt idx="0">
                  <c:v>0.66200000000000003</c:v>
                </c:pt>
                <c:pt idx="1">
                  <c:v>0.64</c:v>
                </c:pt>
                <c:pt idx="2">
                  <c:v>0.74</c:v>
                </c:pt>
                <c:pt idx="3">
                  <c:v>0.81</c:v>
                </c:pt>
                <c:pt idx="4">
                  <c:v>0.82699999999999996</c:v>
                </c:pt>
                <c:pt idx="5">
                  <c:v>0.66700000000000004</c:v>
                </c:pt>
                <c:pt idx="6">
                  <c:v>0.70799999999999996</c:v>
                </c:pt>
                <c:pt idx="7">
                  <c:v>0.86799999999999999</c:v>
                </c:pt>
                <c:pt idx="8">
                  <c:v>0.71499999999999997</c:v>
                </c:pt>
                <c:pt idx="9">
                  <c:v>0.64</c:v>
                </c:pt>
                <c:pt idx="10">
                  <c:v>0.61199999999999999</c:v>
                </c:pt>
                <c:pt idx="11">
                  <c:v>0.67400000000000004</c:v>
                </c:pt>
                <c:pt idx="12">
                  <c:v>0.70599999999999996</c:v>
                </c:pt>
                <c:pt idx="13">
                  <c:v>0.66100000000000003</c:v>
                </c:pt>
                <c:pt idx="14">
                  <c:v>0.72799999999999998</c:v>
                </c:pt>
                <c:pt idx="15">
                  <c:v>0.65200000000000002</c:v>
                </c:pt>
                <c:pt idx="16">
                  <c:v>0.69099999999999995</c:v>
                </c:pt>
                <c:pt idx="17">
                  <c:v>0.60099999999999998</c:v>
                </c:pt>
                <c:pt idx="18">
                  <c:v>0.57399999999999995</c:v>
                </c:pt>
                <c:pt idx="19">
                  <c:v>0.56899999999999995</c:v>
                </c:pt>
                <c:pt idx="20">
                  <c:v>0.56899999999999995</c:v>
                </c:pt>
                <c:pt idx="21">
                  <c:v>0.53500000000000003</c:v>
                </c:pt>
                <c:pt idx="22">
                  <c:v>0.59699999999999998</c:v>
                </c:pt>
                <c:pt idx="23">
                  <c:v>0.51300000000000001</c:v>
                </c:pt>
                <c:pt idx="24">
                  <c:v>0.57199999999999995</c:v>
                </c:pt>
                <c:pt idx="25">
                  <c:v>0.63200000000000001</c:v>
                </c:pt>
                <c:pt idx="26">
                  <c:v>0.499</c:v>
                </c:pt>
                <c:pt idx="27">
                  <c:v>0.61199999999999999</c:v>
                </c:pt>
                <c:pt idx="28">
                  <c:v>0.63200000000000001</c:v>
                </c:pt>
                <c:pt idx="29">
                  <c:v>0.746</c:v>
                </c:pt>
                <c:pt idx="30">
                  <c:v>0.72399999999999998</c:v>
                </c:pt>
                <c:pt idx="31">
                  <c:v>0.73</c:v>
                </c:pt>
                <c:pt idx="32">
                  <c:v>0.63900000000000001</c:v>
                </c:pt>
                <c:pt idx="33">
                  <c:v>0.64800000000000002</c:v>
                </c:pt>
                <c:pt idx="34">
                  <c:v>0.58399999999999996</c:v>
                </c:pt>
                <c:pt idx="35">
                  <c:v>0.51300000000000001</c:v>
                </c:pt>
                <c:pt idx="36">
                  <c:v>0.47899999999999998</c:v>
                </c:pt>
                <c:pt idx="37">
                  <c:v>0.60599999999999998</c:v>
                </c:pt>
                <c:pt idx="38">
                  <c:v>0.69199999999999995</c:v>
                </c:pt>
                <c:pt idx="39">
                  <c:v>0.59899999999999998</c:v>
                </c:pt>
              </c:numCache>
            </c:numRef>
          </c:yVal>
          <c:smooth val="0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natmor2!$A$6:$A$45</c:f>
              <c:numCache>
                <c:formatCode>General</c:formatCode>
                <c:ptCount val="40"/>
                <c:pt idx="0">
                  <c:v>1974</c:v>
                </c:pt>
                <c:pt idx="1">
                  <c:v>1975</c:v>
                </c:pt>
                <c:pt idx="2">
                  <c:v>1976</c:v>
                </c:pt>
                <c:pt idx="3">
                  <c:v>1977</c:v>
                </c:pt>
                <c:pt idx="4">
                  <c:v>1978</c:v>
                </c:pt>
                <c:pt idx="5">
                  <c:v>1979</c:v>
                </c:pt>
                <c:pt idx="6">
                  <c:v>1980</c:v>
                </c:pt>
                <c:pt idx="7">
                  <c:v>1981</c:v>
                </c:pt>
                <c:pt idx="8">
                  <c:v>1982</c:v>
                </c:pt>
                <c:pt idx="9">
                  <c:v>1983</c:v>
                </c:pt>
                <c:pt idx="10">
                  <c:v>1984</c:v>
                </c:pt>
                <c:pt idx="11">
                  <c:v>1985</c:v>
                </c:pt>
                <c:pt idx="12">
                  <c:v>1986</c:v>
                </c:pt>
                <c:pt idx="13">
                  <c:v>1987</c:v>
                </c:pt>
                <c:pt idx="14">
                  <c:v>1988</c:v>
                </c:pt>
                <c:pt idx="15">
                  <c:v>1989</c:v>
                </c:pt>
                <c:pt idx="16">
                  <c:v>1990</c:v>
                </c:pt>
                <c:pt idx="17">
                  <c:v>1991</c:v>
                </c:pt>
                <c:pt idx="18">
                  <c:v>1992</c:v>
                </c:pt>
                <c:pt idx="19">
                  <c:v>1993</c:v>
                </c:pt>
                <c:pt idx="20">
                  <c:v>1994</c:v>
                </c:pt>
                <c:pt idx="21">
                  <c:v>1995</c:v>
                </c:pt>
                <c:pt idx="22">
                  <c:v>1996</c:v>
                </c:pt>
                <c:pt idx="23">
                  <c:v>1997</c:v>
                </c:pt>
                <c:pt idx="24">
                  <c:v>1998</c:v>
                </c:pt>
                <c:pt idx="25">
                  <c:v>1999</c:v>
                </c:pt>
                <c:pt idx="26">
                  <c:v>2000</c:v>
                </c:pt>
                <c:pt idx="27">
                  <c:v>2001</c:v>
                </c:pt>
                <c:pt idx="28">
                  <c:v>2002</c:v>
                </c:pt>
                <c:pt idx="29">
                  <c:v>2003</c:v>
                </c:pt>
                <c:pt idx="30">
                  <c:v>2004</c:v>
                </c:pt>
                <c:pt idx="31">
                  <c:v>2005</c:v>
                </c:pt>
                <c:pt idx="32">
                  <c:v>2006</c:v>
                </c:pt>
                <c:pt idx="33">
                  <c:v>2007</c:v>
                </c:pt>
                <c:pt idx="34">
                  <c:v>2008</c:v>
                </c:pt>
                <c:pt idx="35">
                  <c:v>2009</c:v>
                </c:pt>
                <c:pt idx="36">
                  <c:v>2010</c:v>
                </c:pt>
                <c:pt idx="37">
                  <c:v>2011</c:v>
                </c:pt>
                <c:pt idx="38">
                  <c:v>2012</c:v>
                </c:pt>
                <c:pt idx="39">
                  <c:v>2013</c:v>
                </c:pt>
              </c:numCache>
            </c:numRef>
          </c:xVal>
          <c:yVal>
            <c:numRef>
              <c:f>natmor2!$D$6:$D$45</c:f>
              <c:numCache>
                <c:formatCode>General</c:formatCode>
                <c:ptCount val="40"/>
                <c:pt idx="0">
                  <c:v>0.39800000000000002</c:v>
                </c:pt>
                <c:pt idx="1">
                  <c:v>0.372</c:v>
                </c:pt>
                <c:pt idx="2">
                  <c:v>0.42099999999999999</c:v>
                </c:pt>
                <c:pt idx="3">
                  <c:v>0.42199999999999999</c:v>
                </c:pt>
                <c:pt idx="4">
                  <c:v>0.41599999999999998</c:v>
                </c:pt>
                <c:pt idx="5">
                  <c:v>0.34799999999999998</c:v>
                </c:pt>
                <c:pt idx="6">
                  <c:v>0.312</c:v>
                </c:pt>
                <c:pt idx="7">
                  <c:v>0.41299999999999998</c:v>
                </c:pt>
                <c:pt idx="8">
                  <c:v>0.39700000000000002</c:v>
                </c:pt>
                <c:pt idx="9">
                  <c:v>0.39</c:v>
                </c:pt>
                <c:pt idx="10">
                  <c:v>0.32300000000000001</c:v>
                </c:pt>
                <c:pt idx="11">
                  <c:v>0.37</c:v>
                </c:pt>
                <c:pt idx="12">
                  <c:v>0.38300000000000001</c:v>
                </c:pt>
                <c:pt idx="13">
                  <c:v>0.33300000000000002</c:v>
                </c:pt>
                <c:pt idx="14">
                  <c:v>0.36299999999999999</c:v>
                </c:pt>
                <c:pt idx="15">
                  <c:v>0.30299999999999999</c:v>
                </c:pt>
                <c:pt idx="16">
                  <c:v>0.30099999999999999</c:v>
                </c:pt>
                <c:pt idx="17">
                  <c:v>0.32300000000000001</c:v>
                </c:pt>
                <c:pt idx="18">
                  <c:v>0.3</c:v>
                </c:pt>
                <c:pt idx="19">
                  <c:v>0.33</c:v>
                </c:pt>
                <c:pt idx="20">
                  <c:v>0.311</c:v>
                </c:pt>
                <c:pt idx="21">
                  <c:v>0.33</c:v>
                </c:pt>
                <c:pt idx="22">
                  <c:v>0.35199999999999998</c:v>
                </c:pt>
                <c:pt idx="23">
                  <c:v>0.33500000000000002</c:v>
                </c:pt>
                <c:pt idx="24">
                  <c:v>0.372</c:v>
                </c:pt>
                <c:pt idx="25">
                  <c:v>0.33900000000000002</c:v>
                </c:pt>
                <c:pt idx="26">
                  <c:v>0.26600000000000001</c:v>
                </c:pt>
                <c:pt idx="27">
                  <c:v>0.34899999999999998</c:v>
                </c:pt>
                <c:pt idx="28">
                  <c:v>0.39600000000000002</c:v>
                </c:pt>
                <c:pt idx="29">
                  <c:v>0.41499999999999998</c:v>
                </c:pt>
                <c:pt idx="30">
                  <c:v>0.44800000000000001</c:v>
                </c:pt>
                <c:pt idx="31">
                  <c:v>0.47599999999999998</c:v>
                </c:pt>
                <c:pt idx="32">
                  <c:v>0.39700000000000002</c:v>
                </c:pt>
                <c:pt idx="33">
                  <c:v>0.42099999999999999</c:v>
                </c:pt>
                <c:pt idx="34">
                  <c:v>0.38300000000000001</c:v>
                </c:pt>
                <c:pt idx="35">
                  <c:v>0.314</c:v>
                </c:pt>
                <c:pt idx="36">
                  <c:v>0.317</c:v>
                </c:pt>
                <c:pt idx="37">
                  <c:v>0.36299999999999999</c:v>
                </c:pt>
                <c:pt idx="38">
                  <c:v>0.371</c:v>
                </c:pt>
                <c:pt idx="39">
                  <c:v>0.375</c:v>
                </c:pt>
              </c:numCache>
            </c:numRef>
          </c:yVal>
          <c:smooth val="0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natmor2!$A$6:$A$45</c:f>
              <c:numCache>
                <c:formatCode>General</c:formatCode>
                <c:ptCount val="40"/>
                <c:pt idx="0">
                  <c:v>1974</c:v>
                </c:pt>
                <c:pt idx="1">
                  <c:v>1975</c:v>
                </c:pt>
                <c:pt idx="2">
                  <c:v>1976</c:v>
                </c:pt>
                <c:pt idx="3">
                  <c:v>1977</c:v>
                </c:pt>
                <c:pt idx="4">
                  <c:v>1978</c:v>
                </c:pt>
                <c:pt idx="5">
                  <c:v>1979</c:v>
                </c:pt>
                <c:pt idx="6">
                  <c:v>1980</c:v>
                </c:pt>
                <c:pt idx="7">
                  <c:v>1981</c:v>
                </c:pt>
                <c:pt idx="8">
                  <c:v>1982</c:v>
                </c:pt>
                <c:pt idx="9">
                  <c:v>1983</c:v>
                </c:pt>
                <c:pt idx="10">
                  <c:v>1984</c:v>
                </c:pt>
                <c:pt idx="11">
                  <c:v>1985</c:v>
                </c:pt>
                <c:pt idx="12">
                  <c:v>1986</c:v>
                </c:pt>
                <c:pt idx="13">
                  <c:v>1987</c:v>
                </c:pt>
                <c:pt idx="14">
                  <c:v>1988</c:v>
                </c:pt>
                <c:pt idx="15">
                  <c:v>1989</c:v>
                </c:pt>
                <c:pt idx="16">
                  <c:v>1990</c:v>
                </c:pt>
                <c:pt idx="17">
                  <c:v>1991</c:v>
                </c:pt>
                <c:pt idx="18">
                  <c:v>1992</c:v>
                </c:pt>
                <c:pt idx="19">
                  <c:v>1993</c:v>
                </c:pt>
                <c:pt idx="20">
                  <c:v>1994</c:v>
                </c:pt>
                <c:pt idx="21">
                  <c:v>1995</c:v>
                </c:pt>
                <c:pt idx="22">
                  <c:v>1996</c:v>
                </c:pt>
                <c:pt idx="23">
                  <c:v>1997</c:v>
                </c:pt>
                <c:pt idx="24">
                  <c:v>1998</c:v>
                </c:pt>
                <c:pt idx="25">
                  <c:v>1999</c:v>
                </c:pt>
                <c:pt idx="26">
                  <c:v>2000</c:v>
                </c:pt>
                <c:pt idx="27">
                  <c:v>2001</c:v>
                </c:pt>
                <c:pt idx="28">
                  <c:v>2002</c:v>
                </c:pt>
                <c:pt idx="29">
                  <c:v>2003</c:v>
                </c:pt>
                <c:pt idx="30">
                  <c:v>2004</c:v>
                </c:pt>
                <c:pt idx="31">
                  <c:v>2005</c:v>
                </c:pt>
                <c:pt idx="32">
                  <c:v>2006</c:v>
                </c:pt>
                <c:pt idx="33">
                  <c:v>2007</c:v>
                </c:pt>
                <c:pt idx="34">
                  <c:v>2008</c:v>
                </c:pt>
                <c:pt idx="35">
                  <c:v>2009</c:v>
                </c:pt>
                <c:pt idx="36">
                  <c:v>2010</c:v>
                </c:pt>
                <c:pt idx="37">
                  <c:v>2011</c:v>
                </c:pt>
                <c:pt idx="38">
                  <c:v>2012</c:v>
                </c:pt>
                <c:pt idx="39">
                  <c:v>2013</c:v>
                </c:pt>
              </c:numCache>
            </c:numRef>
          </c:xVal>
          <c:yVal>
            <c:numRef>
              <c:f>natmor2!$E$6:$E$45</c:f>
              <c:numCache>
                <c:formatCode>General</c:formatCode>
                <c:ptCount val="40"/>
                <c:pt idx="0">
                  <c:v>0.38100000000000001</c:v>
                </c:pt>
                <c:pt idx="1">
                  <c:v>0.35899999999999999</c:v>
                </c:pt>
                <c:pt idx="2">
                  <c:v>0.36</c:v>
                </c:pt>
                <c:pt idx="3">
                  <c:v>0.374</c:v>
                </c:pt>
                <c:pt idx="4">
                  <c:v>0.36499999999999999</c:v>
                </c:pt>
                <c:pt idx="5">
                  <c:v>0.33100000000000002</c:v>
                </c:pt>
                <c:pt idx="6">
                  <c:v>0.28199999999999997</c:v>
                </c:pt>
                <c:pt idx="7">
                  <c:v>0.374</c:v>
                </c:pt>
                <c:pt idx="8">
                  <c:v>0.34100000000000003</c:v>
                </c:pt>
                <c:pt idx="9">
                  <c:v>0.36699999999999999</c:v>
                </c:pt>
                <c:pt idx="10">
                  <c:v>0.28499999999999998</c:v>
                </c:pt>
                <c:pt idx="11">
                  <c:v>0.33500000000000002</c:v>
                </c:pt>
                <c:pt idx="12">
                  <c:v>0.27500000000000002</c:v>
                </c:pt>
                <c:pt idx="13">
                  <c:v>0.26800000000000002</c:v>
                </c:pt>
                <c:pt idx="14">
                  <c:v>0.29699999999999999</c:v>
                </c:pt>
                <c:pt idx="15">
                  <c:v>0.26900000000000002</c:v>
                </c:pt>
                <c:pt idx="16">
                  <c:v>0.27400000000000002</c:v>
                </c:pt>
                <c:pt idx="17">
                  <c:v>0.24099999999999999</c:v>
                </c:pt>
                <c:pt idx="18">
                  <c:v>0.26600000000000001</c:v>
                </c:pt>
                <c:pt idx="19">
                  <c:v>0.3</c:v>
                </c:pt>
                <c:pt idx="20">
                  <c:v>0.28699999999999998</c:v>
                </c:pt>
                <c:pt idx="21">
                  <c:v>0.307</c:v>
                </c:pt>
                <c:pt idx="22">
                  <c:v>0.32500000000000001</c:v>
                </c:pt>
                <c:pt idx="23">
                  <c:v>0.307</c:v>
                </c:pt>
                <c:pt idx="24">
                  <c:v>0.35</c:v>
                </c:pt>
                <c:pt idx="25">
                  <c:v>0.31900000000000001</c:v>
                </c:pt>
                <c:pt idx="26">
                  <c:v>0.255</c:v>
                </c:pt>
                <c:pt idx="27">
                  <c:v>0.32600000000000001</c:v>
                </c:pt>
                <c:pt idx="28">
                  <c:v>0.34799999999999998</c:v>
                </c:pt>
                <c:pt idx="29">
                  <c:v>0.34899999999999998</c:v>
                </c:pt>
                <c:pt idx="30">
                  <c:v>0.38300000000000001</c:v>
                </c:pt>
                <c:pt idx="31">
                  <c:v>0.38900000000000001</c:v>
                </c:pt>
                <c:pt idx="32">
                  <c:v>0.379</c:v>
                </c:pt>
                <c:pt idx="33">
                  <c:v>0.374</c:v>
                </c:pt>
                <c:pt idx="34">
                  <c:v>0.37</c:v>
                </c:pt>
                <c:pt idx="35">
                  <c:v>0.29599999999999999</c:v>
                </c:pt>
                <c:pt idx="36">
                  <c:v>0.28599999999999998</c:v>
                </c:pt>
                <c:pt idx="37">
                  <c:v>0.33400000000000002</c:v>
                </c:pt>
                <c:pt idx="38">
                  <c:v>0.33600000000000002</c:v>
                </c:pt>
                <c:pt idx="39">
                  <c:v>0.34300000000000003</c:v>
                </c:pt>
              </c:numCache>
            </c:numRef>
          </c:yVal>
          <c:smooth val="0"/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natmor2!$A$6:$A$45</c:f>
              <c:numCache>
                <c:formatCode>General</c:formatCode>
                <c:ptCount val="40"/>
                <c:pt idx="0">
                  <c:v>1974</c:v>
                </c:pt>
                <c:pt idx="1">
                  <c:v>1975</c:v>
                </c:pt>
                <c:pt idx="2">
                  <c:v>1976</c:v>
                </c:pt>
                <c:pt idx="3">
                  <c:v>1977</c:v>
                </c:pt>
                <c:pt idx="4">
                  <c:v>1978</c:v>
                </c:pt>
                <c:pt idx="5">
                  <c:v>1979</c:v>
                </c:pt>
                <c:pt idx="6">
                  <c:v>1980</c:v>
                </c:pt>
                <c:pt idx="7">
                  <c:v>1981</c:v>
                </c:pt>
                <c:pt idx="8">
                  <c:v>1982</c:v>
                </c:pt>
                <c:pt idx="9">
                  <c:v>1983</c:v>
                </c:pt>
                <c:pt idx="10">
                  <c:v>1984</c:v>
                </c:pt>
                <c:pt idx="11">
                  <c:v>1985</c:v>
                </c:pt>
                <c:pt idx="12">
                  <c:v>1986</c:v>
                </c:pt>
                <c:pt idx="13">
                  <c:v>1987</c:v>
                </c:pt>
                <c:pt idx="14">
                  <c:v>1988</c:v>
                </c:pt>
                <c:pt idx="15">
                  <c:v>1989</c:v>
                </c:pt>
                <c:pt idx="16">
                  <c:v>1990</c:v>
                </c:pt>
                <c:pt idx="17">
                  <c:v>1991</c:v>
                </c:pt>
                <c:pt idx="18">
                  <c:v>1992</c:v>
                </c:pt>
                <c:pt idx="19">
                  <c:v>1993</c:v>
                </c:pt>
                <c:pt idx="20">
                  <c:v>1994</c:v>
                </c:pt>
                <c:pt idx="21">
                  <c:v>1995</c:v>
                </c:pt>
                <c:pt idx="22">
                  <c:v>1996</c:v>
                </c:pt>
                <c:pt idx="23">
                  <c:v>1997</c:v>
                </c:pt>
                <c:pt idx="24">
                  <c:v>1998</c:v>
                </c:pt>
                <c:pt idx="25">
                  <c:v>1999</c:v>
                </c:pt>
                <c:pt idx="26">
                  <c:v>2000</c:v>
                </c:pt>
                <c:pt idx="27">
                  <c:v>2001</c:v>
                </c:pt>
                <c:pt idx="28">
                  <c:v>2002</c:v>
                </c:pt>
                <c:pt idx="29">
                  <c:v>2003</c:v>
                </c:pt>
                <c:pt idx="30">
                  <c:v>2004</c:v>
                </c:pt>
                <c:pt idx="31">
                  <c:v>2005</c:v>
                </c:pt>
                <c:pt idx="32">
                  <c:v>2006</c:v>
                </c:pt>
                <c:pt idx="33">
                  <c:v>2007</c:v>
                </c:pt>
                <c:pt idx="34">
                  <c:v>2008</c:v>
                </c:pt>
                <c:pt idx="35">
                  <c:v>2009</c:v>
                </c:pt>
                <c:pt idx="36">
                  <c:v>2010</c:v>
                </c:pt>
                <c:pt idx="37">
                  <c:v>2011</c:v>
                </c:pt>
                <c:pt idx="38">
                  <c:v>2012</c:v>
                </c:pt>
                <c:pt idx="39">
                  <c:v>2013</c:v>
                </c:pt>
              </c:numCache>
            </c:numRef>
          </c:xVal>
          <c:yVal>
            <c:numRef>
              <c:f>natmor2!$F$6:$F$45</c:f>
              <c:numCache>
                <c:formatCode>General</c:formatCode>
                <c:ptCount val="40"/>
                <c:pt idx="0">
                  <c:v>0.36099999999999999</c:v>
                </c:pt>
                <c:pt idx="1">
                  <c:v>0.312</c:v>
                </c:pt>
                <c:pt idx="2">
                  <c:v>0.33800000000000002</c:v>
                </c:pt>
                <c:pt idx="3">
                  <c:v>0.36399999999999999</c:v>
                </c:pt>
                <c:pt idx="4">
                  <c:v>0.36</c:v>
                </c:pt>
                <c:pt idx="5">
                  <c:v>0.314</c:v>
                </c:pt>
                <c:pt idx="6">
                  <c:v>0.27200000000000002</c:v>
                </c:pt>
                <c:pt idx="7">
                  <c:v>0.34399999999999997</c:v>
                </c:pt>
                <c:pt idx="8">
                  <c:v>0.33600000000000002</c:v>
                </c:pt>
                <c:pt idx="9">
                  <c:v>0.35</c:v>
                </c:pt>
                <c:pt idx="10">
                  <c:v>0.26500000000000001</c:v>
                </c:pt>
                <c:pt idx="11">
                  <c:v>0.30499999999999999</c:v>
                </c:pt>
                <c:pt idx="12">
                  <c:v>0.253</c:v>
                </c:pt>
                <c:pt idx="13">
                  <c:v>0.25</c:v>
                </c:pt>
                <c:pt idx="14">
                  <c:v>0.26500000000000001</c:v>
                </c:pt>
                <c:pt idx="15">
                  <c:v>0.23400000000000001</c:v>
                </c:pt>
                <c:pt idx="16">
                  <c:v>0.252</c:v>
                </c:pt>
                <c:pt idx="17">
                  <c:v>0.22500000000000001</c:v>
                </c:pt>
                <c:pt idx="18">
                  <c:v>0.23899999999999999</c:v>
                </c:pt>
                <c:pt idx="19">
                  <c:v>0.26700000000000002</c:v>
                </c:pt>
                <c:pt idx="20">
                  <c:v>0.25900000000000001</c:v>
                </c:pt>
                <c:pt idx="21">
                  <c:v>0.30499999999999999</c:v>
                </c:pt>
                <c:pt idx="22">
                  <c:v>0.29899999999999999</c:v>
                </c:pt>
                <c:pt idx="23">
                  <c:v>0.27100000000000002</c:v>
                </c:pt>
                <c:pt idx="24">
                  <c:v>0.29799999999999999</c:v>
                </c:pt>
                <c:pt idx="25">
                  <c:v>0.27700000000000002</c:v>
                </c:pt>
                <c:pt idx="26">
                  <c:v>0.251</c:v>
                </c:pt>
                <c:pt idx="27">
                  <c:v>0.28100000000000003</c:v>
                </c:pt>
                <c:pt idx="28">
                  <c:v>0.28299999999999997</c:v>
                </c:pt>
                <c:pt idx="29">
                  <c:v>0.30599999999999999</c:v>
                </c:pt>
                <c:pt idx="30">
                  <c:v>0.36099999999999999</c:v>
                </c:pt>
                <c:pt idx="31">
                  <c:v>0.35899999999999999</c:v>
                </c:pt>
                <c:pt idx="32">
                  <c:v>0.32200000000000001</c:v>
                </c:pt>
                <c:pt idx="33">
                  <c:v>0.36299999999999999</c:v>
                </c:pt>
                <c:pt idx="34">
                  <c:v>0.34699999999999998</c:v>
                </c:pt>
                <c:pt idx="35">
                  <c:v>0.28199999999999997</c:v>
                </c:pt>
                <c:pt idx="36">
                  <c:v>0.27200000000000002</c:v>
                </c:pt>
                <c:pt idx="37">
                  <c:v>0.318</c:v>
                </c:pt>
                <c:pt idx="38">
                  <c:v>0.313</c:v>
                </c:pt>
                <c:pt idx="39">
                  <c:v>0.32100000000000001</c:v>
                </c:pt>
              </c:numCache>
            </c:numRef>
          </c:yVal>
          <c:smooth val="0"/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natmor2!$A$6:$A$45</c:f>
              <c:numCache>
                <c:formatCode>General</c:formatCode>
                <c:ptCount val="40"/>
                <c:pt idx="0">
                  <c:v>1974</c:v>
                </c:pt>
                <c:pt idx="1">
                  <c:v>1975</c:v>
                </c:pt>
                <c:pt idx="2">
                  <c:v>1976</c:v>
                </c:pt>
                <c:pt idx="3">
                  <c:v>1977</c:v>
                </c:pt>
                <c:pt idx="4">
                  <c:v>1978</c:v>
                </c:pt>
                <c:pt idx="5">
                  <c:v>1979</c:v>
                </c:pt>
                <c:pt idx="6">
                  <c:v>1980</c:v>
                </c:pt>
                <c:pt idx="7">
                  <c:v>1981</c:v>
                </c:pt>
                <c:pt idx="8">
                  <c:v>1982</c:v>
                </c:pt>
                <c:pt idx="9">
                  <c:v>1983</c:v>
                </c:pt>
                <c:pt idx="10">
                  <c:v>1984</c:v>
                </c:pt>
                <c:pt idx="11">
                  <c:v>1985</c:v>
                </c:pt>
                <c:pt idx="12">
                  <c:v>1986</c:v>
                </c:pt>
                <c:pt idx="13">
                  <c:v>1987</c:v>
                </c:pt>
                <c:pt idx="14">
                  <c:v>1988</c:v>
                </c:pt>
                <c:pt idx="15">
                  <c:v>1989</c:v>
                </c:pt>
                <c:pt idx="16">
                  <c:v>1990</c:v>
                </c:pt>
                <c:pt idx="17">
                  <c:v>1991</c:v>
                </c:pt>
                <c:pt idx="18">
                  <c:v>1992</c:v>
                </c:pt>
                <c:pt idx="19">
                  <c:v>1993</c:v>
                </c:pt>
                <c:pt idx="20">
                  <c:v>1994</c:v>
                </c:pt>
                <c:pt idx="21">
                  <c:v>1995</c:v>
                </c:pt>
                <c:pt idx="22">
                  <c:v>1996</c:v>
                </c:pt>
                <c:pt idx="23">
                  <c:v>1997</c:v>
                </c:pt>
                <c:pt idx="24">
                  <c:v>1998</c:v>
                </c:pt>
                <c:pt idx="25">
                  <c:v>1999</c:v>
                </c:pt>
                <c:pt idx="26">
                  <c:v>2000</c:v>
                </c:pt>
                <c:pt idx="27">
                  <c:v>2001</c:v>
                </c:pt>
                <c:pt idx="28">
                  <c:v>2002</c:v>
                </c:pt>
                <c:pt idx="29">
                  <c:v>2003</c:v>
                </c:pt>
                <c:pt idx="30">
                  <c:v>2004</c:v>
                </c:pt>
                <c:pt idx="31">
                  <c:v>2005</c:v>
                </c:pt>
                <c:pt idx="32">
                  <c:v>2006</c:v>
                </c:pt>
                <c:pt idx="33">
                  <c:v>2007</c:v>
                </c:pt>
                <c:pt idx="34">
                  <c:v>2008</c:v>
                </c:pt>
                <c:pt idx="35">
                  <c:v>2009</c:v>
                </c:pt>
                <c:pt idx="36">
                  <c:v>2010</c:v>
                </c:pt>
                <c:pt idx="37">
                  <c:v>2011</c:v>
                </c:pt>
                <c:pt idx="38">
                  <c:v>2012</c:v>
                </c:pt>
                <c:pt idx="39">
                  <c:v>2013</c:v>
                </c:pt>
              </c:numCache>
            </c:numRef>
          </c:xVal>
          <c:yVal>
            <c:numRef>
              <c:f>natmor2!$G$6:$G$45</c:f>
              <c:numCache>
                <c:formatCode>General</c:formatCode>
                <c:ptCount val="40"/>
                <c:pt idx="0">
                  <c:v>0.34799999999999998</c:v>
                </c:pt>
                <c:pt idx="1">
                  <c:v>0.3</c:v>
                </c:pt>
                <c:pt idx="2">
                  <c:v>0.29899999999999999</c:v>
                </c:pt>
                <c:pt idx="3">
                  <c:v>0.33900000000000002</c:v>
                </c:pt>
                <c:pt idx="4">
                  <c:v>0.33100000000000002</c:v>
                </c:pt>
                <c:pt idx="5">
                  <c:v>0.30399999999999999</c:v>
                </c:pt>
                <c:pt idx="6">
                  <c:v>0.253</c:v>
                </c:pt>
                <c:pt idx="7">
                  <c:v>0.30599999999999999</c:v>
                </c:pt>
                <c:pt idx="8">
                  <c:v>0.32100000000000001</c:v>
                </c:pt>
                <c:pt idx="9">
                  <c:v>0.30199999999999999</c:v>
                </c:pt>
                <c:pt idx="10">
                  <c:v>0.254</c:v>
                </c:pt>
                <c:pt idx="11">
                  <c:v>0.28399999999999997</c:v>
                </c:pt>
                <c:pt idx="12">
                  <c:v>0.23</c:v>
                </c:pt>
                <c:pt idx="13">
                  <c:v>0.22600000000000001</c:v>
                </c:pt>
                <c:pt idx="14">
                  <c:v>0.246</c:v>
                </c:pt>
                <c:pt idx="15">
                  <c:v>0.223</c:v>
                </c:pt>
                <c:pt idx="16">
                  <c:v>0.23599999999999999</c:v>
                </c:pt>
                <c:pt idx="17">
                  <c:v>0.22</c:v>
                </c:pt>
                <c:pt idx="18">
                  <c:v>0.22500000000000001</c:v>
                </c:pt>
                <c:pt idx="19">
                  <c:v>0.24199999999999999</c:v>
                </c:pt>
                <c:pt idx="20">
                  <c:v>0.22800000000000001</c:v>
                </c:pt>
                <c:pt idx="21">
                  <c:v>0.26400000000000001</c:v>
                </c:pt>
                <c:pt idx="22">
                  <c:v>0.27900000000000003</c:v>
                </c:pt>
                <c:pt idx="23">
                  <c:v>0.247</c:v>
                </c:pt>
                <c:pt idx="24">
                  <c:v>0.28100000000000003</c:v>
                </c:pt>
                <c:pt idx="25">
                  <c:v>0.26200000000000001</c:v>
                </c:pt>
                <c:pt idx="26">
                  <c:v>0.248</c:v>
                </c:pt>
                <c:pt idx="27">
                  <c:v>0.252</c:v>
                </c:pt>
                <c:pt idx="28">
                  <c:v>0.25600000000000001</c:v>
                </c:pt>
                <c:pt idx="29">
                  <c:v>0.30099999999999999</c:v>
                </c:pt>
                <c:pt idx="30">
                  <c:v>0.33500000000000002</c:v>
                </c:pt>
                <c:pt idx="31">
                  <c:v>0.33500000000000002</c:v>
                </c:pt>
                <c:pt idx="32">
                  <c:v>0.313</c:v>
                </c:pt>
                <c:pt idx="33">
                  <c:v>0.35099999999999998</c:v>
                </c:pt>
                <c:pt idx="34">
                  <c:v>0.33600000000000002</c:v>
                </c:pt>
                <c:pt idx="35">
                  <c:v>0.27900000000000003</c:v>
                </c:pt>
                <c:pt idx="36">
                  <c:v>0.26400000000000001</c:v>
                </c:pt>
                <c:pt idx="37">
                  <c:v>0.307</c:v>
                </c:pt>
                <c:pt idx="38">
                  <c:v>0.30099999999999999</c:v>
                </c:pt>
                <c:pt idx="39">
                  <c:v>0.308</c:v>
                </c:pt>
              </c:numCache>
            </c:numRef>
          </c:yVal>
          <c:smooth val="0"/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natmor2!$A$6:$A$45</c:f>
              <c:numCache>
                <c:formatCode>General</c:formatCode>
                <c:ptCount val="40"/>
                <c:pt idx="0">
                  <c:v>1974</c:v>
                </c:pt>
                <c:pt idx="1">
                  <c:v>1975</c:v>
                </c:pt>
                <c:pt idx="2">
                  <c:v>1976</c:v>
                </c:pt>
                <c:pt idx="3">
                  <c:v>1977</c:v>
                </c:pt>
                <c:pt idx="4">
                  <c:v>1978</c:v>
                </c:pt>
                <c:pt idx="5">
                  <c:v>1979</c:v>
                </c:pt>
                <c:pt idx="6">
                  <c:v>1980</c:v>
                </c:pt>
                <c:pt idx="7">
                  <c:v>1981</c:v>
                </c:pt>
                <c:pt idx="8">
                  <c:v>1982</c:v>
                </c:pt>
                <c:pt idx="9">
                  <c:v>1983</c:v>
                </c:pt>
                <c:pt idx="10">
                  <c:v>1984</c:v>
                </c:pt>
                <c:pt idx="11">
                  <c:v>1985</c:v>
                </c:pt>
                <c:pt idx="12">
                  <c:v>1986</c:v>
                </c:pt>
                <c:pt idx="13">
                  <c:v>1987</c:v>
                </c:pt>
                <c:pt idx="14">
                  <c:v>1988</c:v>
                </c:pt>
                <c:pt idx="15">
                  <c:v>1989</c:v>
                </c:pt>
                <c:pt idx="16">
                  <c:v>1990</c:v>
                </c:pt>
                <c:pt idx="17">
                  <c:v>1991</c:v>
                </c:pt>
                <c:pt idx="18">
                  <c:v>1992</c:v>
                </c:pt>
                <c:pt idx="19">
                  <c:v>1993</c:v>
                </c:pt>
                <c:pt idx="20">
                  <c:v>1994</c:v>
                </c:pt>
                <c:pt idx="21">
                  <c:v>1995</c:v>
                </c:pt>
                <c:pt idx="22">
                  <c:v>1996</c:v>
                </c:pt>
                <c:pt idx="23">
                  <c:v>1997</c:v>
                </c:pt>
                <c:pt idx="24">
                  <c:v>1998</c:v>
                </c:pt>
                <c:pt idx="25">
                  <c:v>1999</c:v>
                </c:pt>
                <c:pt idx="26">
                  <c:v>2000</c:v>
                </c:pt>
                <c:pt idx="27">
                  <c:v>2001</c:v>
                </c:pt>
                <c:pt idx="28">
                  <c:v>2002</c:v>
                </c:pt>
                <c:pt idx="29">
                  <c:v>2003</c:v>
                </c:pt>
                <c:pt idx="30">
                  <c:v>2004</c:v>
                </c:pt>
                <c:pt idx="31">
                  <c:v>2005</c:v>
                </c:pt>
                <c:pt idx="32">
                  <c:v>2006</c:v>
                </c:pt>
                <c:pt idx="33">
                  <c:v>2007</c:v>
                </c:pt>
                <c:pt idx="34">
                  <c:v>2008</c:v>
                </c:pt>
                <c:pt idx="35">
                  <c:v>2009</c:v>
                </c:pt>
                <c:pt idx="36">
                  <c:v>2010</c:v>
                </c:pt>
                <c:pt idx="37">
                  <c:v>2011</c:v>
                </c:pt>
                <c:pt idx="38">
                  <c:v>2012</c:v>
                </c:pt>
                <c:pt idx="39">
                  <c:v>2013</c:v>
                </c:pt>
              </c:numCache>
            </c:numRef>
          </c:xVal>
          <c:yVal>
            <c:numRef>
              <c:f>natmor2!$H$6:$H$45</c:f>
              <c:numCache>
                <c:formatCode>General</c:formatCode>
                <c:ptCount val="40"/>
                <c:pt idx="0">
                  <c:v>0.34699999999999998</c:v>
                </c:pt>
                <c:pt idx="1">
                  <c:v>0.3</c:v>
                </c:pt>
                <c:pt idx="2">
                  <c:v>0.29799999999999999</c:v>
                </c:pt>
                <c:pt idx="3">
                  <c:v>0.29899999999999999</c:v>
                </c:pt>
                <c:pt idx="4">
                  <c:v>0.33100000000000002</c:v>
                </c:pt>
                <c:pt idx="5">
                  <c:v>0.28999999999999998</c:v>
                </c:pt>
                <c:pt idx="6">
                  <c:v>0.253</c:v>
                </c:pt>
                <c:pt idx="7">
                  <c:v>0.29499999999999998</c:v>
                </c:pt>
                <c:pt idx="8">
                  <c:v>0.3</c:v>
                </c:pt>
                <c:pt idx="9">
                  <c:v>0.30099999999999999</c:v>
                </c:pt>
                <c:pt idx="10">
                  <c:v>0.253</c:v>
                </c:pt>
                <c:pt idx="11">
                  <c:v>0.26900000000000002</c:v>
                </c:pt>
                <c:pt idx="12">
                  <c:v>0.22900000000000001</c:v>
                </c:pt>
                <c:pt idx="13">
                  <c:v>0.216</c:v>
                </c:pt>
                <c:pt idx="14">
                  <c:v>0.23699999999999999</c:v>
                </c:pt>
                <c:pt idx="15">
                  <c:v>0.223</c:v>
                </c:pt>
                <c:pt idx="16">
                  <c:v>0.22900000000000001</c:v>
                </c:pt>
                <c:pt idx="17">
                  <c:v>0.21199999999999999</c:v>
                </c:pt>
                <c:pt idx="18">
                  <c:v>0.20799999999999999</c:v>
                </c:pt>
                <c:pt idx="19">
                  <c:v>0.23</c:v>
                </c:pt>
                <c:pt idx="20">
                  <c:v>0.222</c:v>
                </c:pt>
                <c:pt idx="21">
                  <c:v>0.254</c:v>
                </c:pt>
                <c:pt idx="22">
                  <c:v>0.25</c:v>
                </c:pt>
                <c:pt idx="23">
                  <c:v>0.247</c:v>
                </c:pt>
                <c:pt idx="24">
                  <c:v>0.27100000000000002</c:v>
                </c:pt>
                <c:pt idx="25">
                  <c:v>0.246</c:v>
                </c:pt>
                <c:pt idx="26">
                  <c:v>0.22600000000000001</c:v>
                </c:pt>
                <c:pt idx="27">
                  <c:v>0.252</c:v>
                </c:pt>
                <c:pt idx="28">
                  <c:v>0.25600000000000001</c:v>
                </c:pt>
                <c:pt idx="29">
                  <c:v>0.28100000000000003</c:v>
                </c:pt>
                <c:pt idx="30">
                  <c:v>0.32900000000000001</c:v>
                </c:pt>
                <c:pt idx="31">
                  <c:v>0.32</c:v>
                </c:pt>
                <c:pt idx="32">
                  <c:v>0.312</c:v>
                </c:pt>
                <c:pt idx="33">
                  <c:v>0.318</c:v>
                </c:pt>
                <c:pt idx="34">
                  <c:v>0.317</c:v>
                </c:pt>
                <c:pt idx="35">
                  <c:v>0.26500000000000001</c:v>
                </c:pt>
                <c:pt idx="36">
                  <c:v>0.251</c:v>
                </c:pt>
                <c:pt idx="37">
                  <c:v>0.29799999999999999</c:v>
                </c:pt>
                <c:pt idx="38">
                  <c:v>0.28899999999999998</c:v>
                </c:pt>
                <c:pt idx="39">
                  <c:v>0.29899999999999999</c:v>
                </c:pt>
              </c:numCache>
            </c:numRef>
          </c:yVal>
          <c:smooth val="0"/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natmor2!$A$6:$A$45</c:f>
              <c:numCache>
                <c:formatCode>General</c:formatCode>
                <c:ptCount val="40"/>
                <c:pt idx="0">
                  <c:v>1974</c:v>
                </c:pt>
                <c:pt idx="1">
                  <c:v>1975</c:v>
                </c:pt>
                <c:pt idx="2">
                  <c:v>1976</c:v>
                </c:pt>
                <c:pt idx="3">
                  <c:v>1977</c:v>
                </c:pt>
                <c:pt idx="4">
                  <c:v>1978</c:v>
                </c:pt>
                <c:pt idx="5">
                  <c:v>1979</c:v>
                </c:pt>
                <c:pt idx="6">
                  <c:v>1980</c:v>
                </c:pt>
                <c:pt idx="7">
                  <c:v>1981</c:v>
                </c:pt>
                <c:pt idx="8">
                  <c:v>1982</c:v>
                </c:pt>
                <c:pt idx="9">
                  <c:v>1983</c:v>
                </c:pt>
                <c:pt idx="10">
                  <c:v>1984</c:v>
                </c:pt>
                <c:pt idx="11">
                  <c:v>1985</c:v>
                </c:pt>
                <c:pt idx="12">
                  <c:v>1986</c:v>
                </c:pt>
                <c:pt idx="13">
                  <c:v>1987</c:v>
                </c:pt>
                <c:pt idx="14">
                  <c:v>1988</c:v>
                </c:pt>
                <c:pt idx="15">
                  <c:v>1989</c:v>
                </c:pt>
                <c:pt idx="16">
                  <c:v>1990</c:v>
                </c:pt>
                <c:pt idx="17">
                  <c:v>1991</c:v>
                </c:pt>
                <c:pt idx="18">
                  <c:v>1992</c:v>
                </c:pt>
                <c:pt idx="19">
                  <c:v>1993</c:v>
                </c:pt>
                <c:pt idx="20">
                  <c:v>1994</c:v>
                </c:pt>
                <c:pt idx="21">
                  <c:v>1995</c:v>
                </c:pt>
                <c:pt idx="22">
                  <c:v>1996</c:v>
                </c:pt>
                <c:pt idx="23">
                  <c:v>1997</c:v>
                </c:pt>
                <c:pt idx="24">
                  <c:v>1998</c:v>
                </c:pt>
                <c:pt idx="25">
                  <c:v>1999</c:v>
                </c:pt>
                <c:pt idx="26">
                  <c:v>2000</c:v>
                </c:pt>
                <c:pt idx="27">
                  <c:v>2001</c:v>
                </c:pt>
                <c:pt idx="28">
                  <c:v>2002</c:v>
                </c:pt>
                <c:pt idx="29">
                  <c:v>2003</c:v>
                </c:pt>
                <c:pt idx="30">
                  <c:v>2004</c:v>
                </c:pt>
                <c:pt idx="31">
                  <c:v>2005</c:v>
                </c:pt>
                <c:pt idx="32">
                  <c:v>2006</c:v>
                </c:pt>
                <c:pt idx="33">
                  <c:v>2007</c:v>
                </c:pt>
                <c:pt idx="34">
                  <c:v>2008</c:v>
                </c:pt>
                <c:pt idx="35">
                  <c:v>2009</c:v>
                </c:pt>
                <c:pt idx="36">
                  <c:v>2010</c:v>
                </c:pt>
                <c:pt idx="37">
                  <c:v>2011</c:v>
                </c:pt>
                <c:pt idx="38">
                  <c:v>2012</c:v>
                </c:pt>
                <c:pt idx="39">
                  <c:v>2013</c:v>
                </c:pt>
              </c:numCache>
            </c:numRef>
          </c:xVal>
          <c:yVal>
            <c:numRef>
              <c:f>natmor2!$I$6:$I$45</c:f>
              <c:numCache>
                <c:formatCode>General</c:formatCode>
                <c:ptCount val="40"/>
                <c:pt idx="0">
                  <c:v>0.33100000000000002</c:v>
                </c:pt>
                <c:pt idx="1">
                  <c:v>0.28599999999999998</c:v>
                </c:pt>
                <c:pt idx="2">
                  <c:v>0.26200000000000001</c:v>
                </c:pt>
                <c:pt idx="3">
                  <c:v>0.27500000000000002</c:v>
                </c:pt>
                <c:pt idx="4">
                  <c:v>0.27800000000000002</c:v>
                </c:pt>
                <c:pt idx="5">
                  <c:v>0.26300000000000001</c:v>
                </c:pt>
                <c:pt idx="6">
                  <c:v>0.23499999999999999</c:v>
                </c:pt>
                <c:pt idx="7">
                  <c:v>0.25800000000000001</c:v>
                </c:pt>
                <c:pt idx="8">
                  <c:v>0.27700000000000002</c:v>
                </c:pt>
                <c:pt idx="9">
                  <c:v>0.25600000000000001</c:v>
                </c:pt>
                <c:pt idx="10">
                  <c:v>0.22500000000000001</c:v>
                </c:pt>
                <c:pt idx="11">
                  <c:v>0.23</c:v>
                </c:pt>
                <c:pt idx="12">
                  <c:v>0.21</c:v>
                </c:pt>
                <c:pt idx="13">
                  <c:v>0.188</c:v>
                </c:pt>
                <c:pt idx="14">
                  <c:v>0.20300000000000001</c:v>
                </c:pt>
                <c:pt idx="15">
                  <c:v>0.20599999999999999</c:v>
                </c:pt>
                <c:pt idx="16">
                  <c:v>0.20699999999999999</c:v>
                </c:pt>
                <c:pt idx="17">
                  <c:v>0.191</c:v>
                </c:pt>
                <c:pt idx="18">
                  <c:v>0.19400000000000001</c:v>
                </c:pt>
                <c:pt idx="19">
                  <c:v>0.20799999999999999</c:v>
                </c:pt>
                <c:pt idx="20">
                  <c:v>0.21</c:v>
                </c:pt>
                <c:pt idx="21">
                  <c:v>0.21</c:v>
                </c:pt>
                <c:pt idx="22">
                  <c:v>0.22500000000000001</c:v>
                </c:pt>
                <c:pt idx="23">
                  <c:v>0.23300000000000001</c:v>
                </c:pt>
                <c:pt idx="24">
                  <c:v>0.224</c:v>
                </c:pt>
                <c:pt idx="25">
                  <c:v>0.23200000000000001</c:v>
                </c:pt>
                <c:pt idx="26">
                  <c:v>0.20899999999999999</c:v>
                </c:pt>
                <c:pt idx="27">
                  <c:v>0.20300000000000001</c:v>
                </c:pt>
                <c:pt idx="28">
                  <c:v>0.23499999999999999</c:v>
                </c:pt>
                <c:pt idx="29">
                  <c:v>0.24</c:v>
                </c:pt>
                <c:pt idx="30">
                  <c:v>0.318</c:v>
                </c:pt>
                <c:pt idx="31">
                  <c:v>0.309</c:v>
                </c:pt>
                <c:pt idx="32">
                  <c:v>0.29499999999999998</c:v>
                </c:pt>
                <c:pt idx="33">
                  <c:v>0.28399999999999997</c:v>
                </c:pt>
                <c:pt idx="34">
                  <c:v>0.30499999999999999</c:v>
                </c:pt>
                <c:pt idx="35">
                  <c:v>0.253</c:v>
                </c:pt>
                <c:pt idx="36">
                  <c:v>0.23899999999999999</c:v>
                </c:pt>
                <c:pt idx="37">
                  <c:v>0.27200000000000002</c:v>
                </c:pt>
                <c:pt idx="38">
                  <c:v>0.27200000000000002</c:v>
                </c:pt>
                <c:pt idx="39">
                  <c:v>0.27500000000000002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581784"/>
        <c:axId val="356581392"/>
      </c:scatterChart>
      <c:valAx>
        <c:axId val="356581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81392"/>
        <c:crosses val="autoZero"/>
        <c:crossBetween val="midCat"/>
      </c:valAx>
      <c:valAx>
        <c:axId val="35658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581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</xdr:row>
          <xdr:rowOff>76200</xdr:rowOff>
        </xdr:from>
        <xdr:to>
          <xdr:col>10</xdr:col>
          <xdr:colOff>523875</xdr:colOff>
          <xdr:row>3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Textfiles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581025</xdr:colOff>
      <xdr:row>7</xdr:row>
      <xdr:rowOff>28575</xdr:rowOff>
    </xdr:from>
    <xdr:to>
      <xdr:col>19</xdr:col>
      <xdr:colOff>428625</xdr:colOff>
      <xdr:row>24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G10"/>
  <sheetViews>
    <sheetView zoomScaleNormal="100" workbookViewId="0">
      <selection activeCell="H32" sqref="H32"/>
    </sheetView>
  </sheetViews>
  <sheetFormatPr defaultColWidth="8.85546875" defaultRowHeight="12.75" x14ac:dyDescent="0.2"/>
  <cols>
    <col min="1" max="1" width="8.85546875" style="49"/>
    <col min="2" max="4" width="8.85546875" customWidth="1"/>
    <col min="5" max="5" width="12.140625" customWidth="1"/>
    <col min="6" max="6" width="11" customWidth="1"/>
    <col min="7" max="7" width="7.42578125" customWidth="1"/>
  </cols>
  <sheetData>
    <row r="1" spans="2:7" x14ac:dyDescent="0.2">
      <c r="B1" t="s">
        <v>19</v>
      </c>
      <c r="F1" s="15">
        <f ca="1">NOW()</f>
        <v>42452.710744560187</v>
      </c>
      <c r="G1" s="52">
        <f ca="1">NOW()</f>
        <v>42452.710744560187</v>
      </c>
    </row>
    <row r="2" spans="2:7" x14ac:dyDescent="0.2">
      <c r="B2">
        <v>1</v>
      </c>
    </row>
    <row r="3" spans="2:7" x14ac:dyDescent="0.2">
      <c r="B3" t="s">
        <v>11</v>
      </c>
    </row>
    <row r="4" spans="2:7" x14ac:dyDescent="0.2">
      <c r="B4" t="s">
        <v>12</v>
      </c>
    </row>
    <row r="5" spans="2:7" x14ac:dyDescent="0.2">
      <c r="B5" t="s">
        <v>13</v>
      </c>
    </row>
    <row r="6" spans="2:7" x14ac:dyDescent="0.2">
      <c r="B6" t="s">
        <v>14</v>
      </c>
    </row>
    <row r="7" spans="2:7" x14ac:dyDescent="0.2">
      <c r="B7" t="s">
        <v>15</v>
      </c>
    </row>
    <row r="8" spans="2:7" x14ac:dyDescent="0.2">
      <c r="B8" t="s">
        <v>16</v>
      </c>
    </row>
    <row r="9" spans="2:7" x14ac:dyDescent="0.2">
      <c r="B9" t="s">
        <v>17</v>
      </c>
    </row>
    <row r="10" spans="2:7" x14ac:dyDescent="0.2">
      <c r="B10" t="s">
        <v>18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ke_Assessment_Dataset">
                <anchor moveWithCells="1" sizeWithCells="1">
                  <from>
                    <xdr:col>8</xdr:col>
                    <xdr:colOff>76200</xdr:colOff>
                    <xdr:row>1</xdr:row>
                    <xdr:rowOff>76200</xdr:rowOff>
                  </from>
                  <to>
                    <xdr:col>10</xdr:col>
                    <xdr:colOff>523875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F74"/>
  <sheetViews>
    <sheetView zoomScaleNormal="100" workbookViewId="0">
      <selection activeCell="C3" sqref="C3"/>
    </sheetView>
  </sheetViews>
  <sheetFormatPr defaultColWidth="8.85546875" defaultRowHeight="12.75" x14ac:dyDescent="0.2"/>
  <cols>
    <col min="1" max="1" width="7.140625" style="50" customWidth="1"/>
    <col min="2" max="2" width="8.85546875" style="32" customWidth="1"/>
    <col min="3" max="4" width="8.85546875" customWidth="1"/>
    <col min="5" max="5" width="10.42578125" customWidth="1"/>
    <col min="6" max="6" width="9.42578125" customWidth="1"/>
  </cols>
  <sheetData>
    <row r="1" spans="1:6" x14ac:dyDescent="0.2">
      <c r="B1" s="7" t="s">
        <v>1</v>
      </c>
      <c r="C1" s="7" t="s">
        <v>2</v>
      </c>
      <c r="E1" s="15">
        <f ca="1">NOW()</f>
        <v>42452.710744560187</v>
      </c>
      <c r="F1" s="52">
        <f ca="1">NOW()</f>
        <v>42452.710744560187</v>
      </c>
    </row>
    <row r="2" spans="1:6" x14ac:dyDescent="0.2">
      <c r="B2" s="7">
        <v>1</v>
      </c>
      <c r="C2" s="7">
        <v>1</v>
      </c>
    </row>
    <row r="3" spans="1:6" x14ac:dyDescent="0.2">
      <c r="B3" s="7">
        <v>1947</v>
      </c>
      <c r="C3" s="11">
        <f>B3+COUNT(B6:B98)-1</f>
        <v>2015</v>
      </c>
    </row>
    <row r="4" spans="1:6" x14ac:dyDescent="0.2">
      <c r="B4" s="7">
        <v>0</v>
      </c>
      <c r="C4" s="39">
        <v>9</v>
      </c>
    </row>
    <row r="5" spans="1:6" x14ac:dyDescent="0.2">
      <c r="B5" s="8">
        <v>5</v>
      </c>
      <c r="C5" s="7"/>
    </row>
    <row r="6" spans="1:6" x14ac:dyDescent="0.2">
      <c r="A6" s="50">
        <v>1947</v>
      </c>
      <c r="B6" s="32">
        <v>581760</v>
      </c>
      <c r="C6" s="34" t="s">
        <v>20</v>
      </c>
    </row>
    <row r="7" spans="1:6" x14ac:dyDescent="0.2">
      <c r="A7" s="50">
        <v>1948</v>
      </c>
      <c r="B7" s="32">
        <v>502100</v>
      </c>
      <c r="C7" s="34" t="s">
        <v>21</v>
      </c>
    </row>
    <row r="8" spans="1:6" x14ac:dyDescent="0.2">
      <c r="A8" s="50">
        <v>1949</v>
      </c>
      <c r="B8" s="32">
        <v>508500</v>
      </c>
      <c r="C8" s="34" t="s">
        <v>22</v>
      </c>
    </row>
    <row r="9" spans="1:6" x14ac:dyDescent="0.2">
      <c r="A9" s="50">
        <v>1950</v>
      </c>
      <c r="B9" s="32">
        <v>491700</v>
      </c>
      <c r="C9" s="34" t="s">
        <v>23</v>
      </c>
    </row>
    <row r="10" spans="1:6" x14ac:dyDescent="0.2">
      <c r="A10" s="50">
        <v>1951</v>
      </c>
      <c r="B10" s="32">
        <v>600400</v>
      </c>
      <c r="C10" s="34" t="s">
        <v>24</v>
      </c>
    </row>
    <row r="11" spans="1:6" x14ac:dyDescent="0.2">
      <c r="A11" s="50">
        <v>1952</v>
      </c>
      <c r="B11" s="32">
        <v>664400</v>
      </c>
      <c r="C11" s="34" t="s">
        <v>25</v>
      </c>
    </row>
    <row r="12" spans="1:6" x14ac:dyDescent="0.2">
      <c r="A12" s="50">
        <v>1953</v>
      </c>
      <c r="B12" s="32">
        <v>698500</v>
      </c>
      <c r="C12" s="34" t="s">
        <v>26</v>
      </c>
    </row>
    <row r="13" spans="1:6" x14ac:dyDescent="0.2">
      <c r="A13" s="50">
        <v>1954</v>
      </c>
      <c r="B13" s="32">
        <v>762900</v>
      </c>
      <c r="C13" s="34" t="s">
        <v>27</v>
      </c>
    </row>
    <row r="14" spans="1:6" x14ac:dyDescent="0.2">
      <c r="A14" s="50">
        <v>1955</v>
      </c>
      <c r="B14" s="32">
        <v>806400</v>
      </c>
      <c r="C14" s="34" t="s">
        <v>28</v>
      </c>
    </row>
    <row r="15" spans="1:6" x14ac:dyDescent="0.2">
      <c r="A15" s="50">
        <v>1956</v>
      </c>
      <c r="B15" s="32">
        <v>675200</v>
      </c>
      <c r="C15" s="34" t="s">
        <v>29</v>
      </c>
    </row>
    <row r="16" spans="1:6" x14ac:dyDescent="0.2">
      <c r="A16" s="50">
        <v>1957</v>
      </c>
      <c r="B16" s="32">
        <v>682900</v>
      </c>
      <c r="C16" s="34" t="s">
        <v>30</v>
      </c>
    </row>
    <row r="17" spans="1:3" x14ac:dyDescent="0.2">
      <c r="A17" s="50">
        <v>1958</v>
      </c>
      <c r="B17" s="32">
        <v>670500</v>
      </c>
      <c r="C17" s="34" t="s">
        <v>31</v>
      </c>
    </row>
    <row r="18" spans="1:3" x14ac:dyDescent="0.2">
      <c r="A18" s="50">
        <v>1959</v>
      </c>
      <c r="B18" s="32">
        <v>784500</v>
      </c>
      <c r="C18" s="34" t="s">
        <v>32</v>
      </c>
    </row>
    <row r="19" spans="1:3" x14ac:dyDescent="0.2">
      <c r="A19" s="50">
        <v>1960</v>
      </c>
      <c r="B19" s="32">
        <v>696200</v>
      </c>
      <c r="C19" s="34" t="s">
        <v>34</v>
      </c>
    </row>
    <row r="20" spans="1:3" x14ac:dyDescent="0.2">
      <c r="A20" s="50">
        <v>1961</v>
      </c>
      <c r="B20" s="32">
        <v>696700</v>
      </c>
      <c r="C20" s="34" t="s">
        <v>35</v>
      </c>
    </row>
    <row r="21" spans="1:3" x14ac:dyDescent="0.2">
      <c r="A21" s="50">
        <v>1962</v>
      </c>
      <c r="B21" s="32">
        <v>627800</v>
      </c>
      <c r="C21" s="34" t="s">
        <v>36</v>
      </c>
    </row>
    <row r="22" spans="1:3" x14ac:dyDescent="0.2">
      <c r="A22" s="50">
        <v>1963</v>
      </c>
      <c r="B22" s="32">
        <v>716000</v>
      </c>
      <c r="C22" s="34" t="s">
        <v>37</v>
      </c>
    </row>
    <row r="23" spans="1:3" x14ac:dyDescent="0.2">
      <c r="A23" s="50">
        <v>1964</v>
      </c>
      <c r="B23" s="32">
        <v>871200</v>
      </c>
      <c r="C23" s="34" t="s">
        <v>38</v>
      </c>
    </row>
    <row r="24" spans="1:3" x14ac:dyDescent="0.2">
      <c r="A24" s="50">
        <v>1965</v>
      </c>
      <c r="B24" s="32">
        <v>1168800</v>
      </c>
      <c r="C24" s="34" t="s">
        <v>39</v>
      </c>
    </row>
    <row r="25" spans="1:3" x14ac:dyDescent="0.2">
      <c r="A25" s="50">
        <v>1966</v>
      </c>
      <c r="B25" s="32">
        <v>895500</v>
      </c>
      <c r="C25" s="34" t="s">
        <v>40</v>
      </c>
    </row>
    <row r="26" spans="1:3" x14ac:dyDescent="0.2">
      <c r="A26" s="50">
        <v>1967</v>
      </c>
      <c r="B26" s="32">
        <v>695500</v>
      </c>
      <c r="C26" s="34" t="s">
        <v>41</v>
      </c>
    </row>
    <row r="27" spans="1:3" x14ac:dyDescent="0.2">
      <c r="A27" s="50">
        <v>1968</v>
      </c>
      <c r="B27" s="32">
        <v>717800</v>
      </c>
      <c r="C27" s="34" t="s">
        <v>42</v>
      </c>
    </row>
    <row r="28" spans="1:3" x14ac:dyDescent="0.2">
      <c r="A28" s="50">
        <v>1969</v>
      </c>
      <c r="B28" s="32">
        <v>546700</v>
      </c>
      <c r="C28" s="34" t="s">
        <v>43</v>
      </c>
    </row>
    <row r="29" spans="1:3" x14ac:dyDescent="0.2">
      <c r="A29" s="50">
        <v>1970</v>
      </c>
      <c r="B29" s="32">
        <v>563100</v>
      </c>
      <c r="C29" s="34" t="s">
        <v>44</v>
      </c>
    </row>
    <row r="30" spans="1:3" x14ac:dyDescent="0.2">
      <c r="A30" s="50">
        <v>1971</v>
      </c>
      <c r="B30" s="32">
        <v>520100</v>
      </c>
      <c r="C30" s="34" t="s">
        <v>45</v>
      </c>
    </row>
    <row r="31" spans="1:3" x14ac:dyDescent="0.2">
      <c r="A31" s="50">
        <v>1972</v>
      </c>
      <c r="B31" s="32">
        <v>497500</v>
      </c>
      <c r="C31" s="34" t="s">
        <v>46</v>
      </c>
    </row>
    <row r="32" spans="1:3" x14ac:dyDescent="0.2">
      <c r="A32" s="50">
        <v>1973</v>
      </c>
      <c r="B32" s="32">
        <v>484000</v>
      </c>
      <c r="C32" s="34" t="s">
        <v>47</v>
      </c>
    </row>
    <row r="33" spans="1:3" x14ac:dyDescent="0.2">
      <c r="A33" s="50">
        <v>1974</v>
      </c>
      <c r="B33" s="32">
        <v>275100</v>
      </c>
      <c r="C33" s="34" t="s">
        <v>48</v>
      </c>
    </row>
    <row r="34" spans="1:3" x14ac:dyDescent="0.2">
      <c r="A34" s="50">
        <v>1975</v>
      </c>
      <c r="B34" s="32">
        <v>312800</v>
      </c>
      <c r="C34" s="34" t="s">
        <v>49</v>
      </c>
    </row>
    <row r="35" spans="1:3" x14ac:dyDescent="0.2">
      <c r="A35" s="50">
        <v>1976</v>
      </c>
      <c r="B35" s="32">
        <v>174800</v>
      </c>
      <c r="C35" s="34" t="s">
        <v>50</v>
      </c>
    </row>
    <row r="36" spans="1:3" x14ac:dyDescent="0.2">
      <c r="A36" s="50">
        <v>1977</v>
      </c>
      <c r="B36" s="32">
        <v>46000</v>
      </c>
      <c r="C36" s="34" t="s">
        <v>51</v>
      </c>
    </row>
    <row r="37" spans="1:3" x14ac:dyDescent="0.2">
      <c r="A37" s="50">
        <v>1978</v>
      </c>
      <c r="B37" s="32">
        <v>11000</v>
      </c>
      <c r="C37" s="34" t="s">
        <v>82</v>
      </c>
    </row>
    <row r="38" spans="1:3" x14ac:dyDescent="0.2">
      <c r="A38" s="50">
        <v>1979</v>
      </c>
      <c r="B38" s="32">
        <v>25100</v>
      </c>
      <c r="C38" s="34" t="s">
        <v>83</v>
      </c>
    </row>
    <row r="39" spans="1:3" x14ac:dyDescent="0.2">
      <c r="A39" s="50">
        <v>1980</v>
      </c>
      <c r="B39" s="32">
        <v>70764</v>
      </c>
      <c r="C39" s="34" t="s">
        <v>84</v>
      </c>
    </row>
    <row r="40" spans="1:3" x14ac:dyDescent="0.2">
      <c r="A40" s="50">
        <v>1981</v>
      </c>
      <c r="B40" s="32">
        <v>174879</v>
      </c>
      <c r="C40" s="34" t="s">
        <v>85</v>
      </c>
    </row>
    <row r="41" spans="1:3" x14ac:dyDescent="0.2">
      <c r="A41" s="50">
        <v>1982</v>
      </c>
      <c r="B41" s="32">
        <v>275079</v>
      </c>
      <c r="C41" s="34" t="s">
        <v>86</v>
      </c>
    </row>
    <row r="42" spans="1:3" x14ac:dyDescent="0.2">
      <c r="A42" s="50">
        <v>1983</v>
      </c>
      <c r="B42" s="32">
        <v>387202</v>
      </c>
      <c r="C42" s="34" t="s">
        <v>87</v>
      </c>
    </row>
    <row r="43" spans="1:3" x14ac:dyDescent="0.2">
      <c r="A43" s="50">
        <v>1984</v>
      </c>
      <c r="B43" s="33">
        <v>428631</v>
      </c>
      <c r="C43" s="34" t="s">
        <v>88</v>
      </c>
    </row>
    <row r="44" spans="1:3" x14ac:dyDescent="0.2">
      <c r="A44" s="50">
        <v>1985</v>
      </c>
      <c r="B44" s="32">
        <v>613780</v>
      </c>
      <c r="C44" s="34" t="s">
        <v>89</v>
      </c>
    </row>
    <row r="45" spans="1:3" x14ac:dyDescent="0.2">
      <c r="A45" s="50">
        <v>1986</v>
      </c>
      <c r="B45" s="32">
        <v>671488</v>
      </c>
      <c r="C45" s="34" t="s">
        <v>90</v>
      </c>
    </row>
    <row r="46" spans="1:3" x14ac:dyDescent="0.2">
      <c r="A46" s="50">
        <v>1987</v>
      </c>
      <c r="B46" s="32">
        <v>792058</v>
      </c>
      <c r="C46" s="34" t="s">
        <v>91</v>
      </c>
    </row>
    <row r="47" spans="1:3" x14ac:dyDescent="0.2">
      <c r="A47" s="50">
        <v>1988</v>
      </c>
      <c r="B47" s="32">
        <v>887686</v>
      </c>
      <c r="C47" s="34" t="s">
        <v>92</v>
      </c>
    </row>
    <row r="48" spans="1:3" x14ac:dyDescent="0.2">
      <c r="A48" s="50">
        <v>1989</v>
      </c>
      <c r="B48" s="32">
        <v>787899</v>
      </c>
      <c r="C48" s="34" t="s">
        <v>93</v>
      </c>
    </row>
    <row r="49" spans="1:3" x14ac:dyDescent="0.2">
      <c r="A49" s="50">
        <v>1990</v>
      </c>
      <c r="B49" s="33">
        <v>645229</v>
      </c>
      <c r="C49" s="34" t="s">
        <v>94</v>
      </c>
    </row>
    <row r="50" spans="1:3" x14ac:dyDescent="0.2">
      <c r="A50" s="50">
        <v>1991</v>
      </c>
      <c r="B50" s="32">
        <v>658008</v>
      </c>
      <c r="C50" s="34" t="s">
        <v>95</v>
      </c>
    </row>
    <row r="51" spans="1:3" x14ac:dyDescent="0.2">
      <c r="A51" s="50">
        <v>1992</v>
      </c>
      <c r="B51" s="32">
        <v>716799</v>
      </c>
      <c r="C51" s="34" t="s">
        <v>96</v>
      </c>
    </row>
    <row r="52" spans="1:3" x14ac:dyDescent="0.2">
      <c r="A52" s="50">
        <v>1993</v>
      </c>
      <c r="B52" s="32">
        <v>671397</v>
      </c>
      <c r="C52" s="34" t="s">
        <v>97</v>
      </c>
    </row>
    <row r="53" spans="1:3" x14ac:dyDescent="0.2">
      <c r="A53" s="50">
        <v>1994</v>
      </c>
      <c r="B53" s="32">
        <v>568234</v>
      </c>
      <c r="C53" s="34" t="s">
        <v>98</v>
      </c>
    </row>
    <row r="54" spans="1:3" x14ac:dyDescent="0.2">
      <c r="A54" s="50">
        <v>1995</v>
      </c>
      <c r="B54" s="32">
        <v>579371</v>
      </c>
      <c r="C54" s="34" t="s">
        <v>99</v>
      </c>
    </row>
    <row r="55" spans="1:3" x14ac:dyDescent="0.2">
      <c r="A55" s="50">
        <v>1996</v>
      </c>
      <c r="B55" s="32">
        <v>275098</v>
      </c>
      <c r="C55" s="34" t="s">
        <v>100</v>
      </c>
    </row>
    <row r="56" spans="1:3" x14ac:dyDescent="0.2">
      <c r="A56" s="50">
        <v>1997</v>
      </c>
      <c r="B56" s="32">
        <v>264313</v>
      </c>
      <c r="C56" s="34" t="s">
        <v>101</v>
      </c>
    </row>
    <row r="57" spans="1:3" x14ac:dyDescent="0.2">
      <c r="A57" s="50">
        <v>1998</v>
      </c>
      <c r="B57" s="32">
        <v>391628</v>
      </c>
      <c r="C57" s="34" t="s">
        <v>102</v>
      </c>
    </row>
    <row r="58" spans="1:3" x14ac:dyDescent="0.2">
      <c r="A58" s="50">
        <v>1999</v>
      </c>
      <c r="B58" s="32">
        <v>363163</v>
      </c>
      <c r="C58" s="34" t="s">
        <v>103</v>
      </c>
    </row>
    <row r="59" spans="1:3" x14ac:dyDescent="0.2">
      <c r="A59" s="50">
        <v>2000</v>
      </c>
      <c r="B59" s="32">
        <v>388157</v>
      </c>
      <c r="C59" s="34" t="s">
        <v>104</v>
      </c>
    </row>
    <row r="60" spans="1:3" x14ac:dyDescent="0.2">
      <c r="A60" s="50">
        <v>2001</v>
      </c>
      <c r="B60" s="32">
        <v>374065</v>
      </c>
      <c r="C60" s="34" t="s">
        <v>105</v>
      </c>
    </row>
    <row r="61" spans="1:3" x14ac:dyDescent="0.2">
      <c r="A61" s="50">
        <v>2002</v>
      </c>
      <c r="B61" s="32">
        <v>394709</v>
      </c>
      <c r="C61" s="34" t="s">
        <v>106</v>
      </c>
    </row>
    <row r="62" spans="1:3" x14ac:dyDescent="0.2">
      <c r="A62" s="50">
        <v>2003</v>
      </c>
      <c r="B62" s="32">
        <v>482281</v>
      </c>
      <c r="C62" s="34" t="s">
        <v>107</v>
      </c>
    </row>
    <row r="63" spans="1:3" x14ac:dyDescent="0.2">
      <c r="A63" s="50">
        <v>2004</v>
      </c>
      <c r="B63" s="32">
        <v>587698</v>
      </c>
      <c r="C63" s="34" t="s">
        <v>108</v>
      </c>
    </row>
    <row r="64" spans="1:3" x14ac:dyDescent="0.2">
      <c r="A64" s="50">
        <v>2005</v>
      </c>
      <c r="B64" s="32">
        <v>663813</v>
      </c>
      <c r="C64" s="34" t="s">
        <v>109</v>
      </c>
    </row>
    <row r="65" spans="1:3" x14ac:dyDescent="0.2">
      <c r="A65" s="50">
        <v>2006</v>
      </c>
      <c r="B65" s="32">
        <v>514597</v>
      </c>
      <c r="C65" s="34" t="s">
        <v>110</v>
      </c>
    </row>
    <row r="66" spans="1:3" x14ac:dyDescent="0.2">
      <c r="A66" s="50">
        <v>2007</v>
      </c>
      <c r="B66" s="32">
        <v>406482</v>
      </c>
      <c r="C66" s="34" t="s">
        <v>111</v>
      </c>
    </row>
    <row r="67" spans="1:3" x14ac:dyDescent="0.2">
      <c r="A67" s="50">
        <v>2008</v>
      </c>
      <c r="B67" s="32">
        <v>257870</v>
      </c>
      <c r="C67" s="34" t="s">
        <v>112</v>
      </c>
    </row>
    <row r="68" spans="1:3" x14ac:dyDescent="0.2">
      <c r="A68" s="50">
        <v>2009</v>
      </c>
      <c r="B68" s="32">
        <v>168443</v>
      </c>
      <c r="C68" s="34" t="s">
        <v>113</v>
      </c>
    </row>
    <row r="69" spans="1:3" x14ac:dyDescent="0.2">
      <c r="A69" s="50">
        <v>2010</v>
      </c>
      <c r="B69" s="32">
        <v>187611</v>
      </c>
      <c r="C69" s="34" t="s">
        <v>114</v>
      </c>
    </row>
    <row r="70" spans="1:3" x14ac:dyDescent="0.2">
      <c r="A70" s="50">
        <v>2011</v>
      </c>
      <c r="B70" s="32">
        <v>226478</v>
      </c>
      <c r="C70" s="34" t="s">
        <v>115</v>
      </c>
    </row>
    <row r="71" spans="1:3" x14ac:dyDescent="0.2">
      <c r="A71" s="50">
        <v>2012</v>
      </c>
      <c r="B71" s="32">
        <v>434710</v>
      </c>
      <c r="C71" s="34" t="s">
        <v>116</v>
      </c>
    </row>
    <row r="72" spans="1:3" x14ac:dyDescent="0.2">
      <c r="A72" s="50">
        <v>2013</v>
      </c>
      <c r="B72" s="32">
        <v>511416</v>
      </c>
      <c r="C72" s="34" t="s">
        <v>117</v>
      </c>
    </row>
    <row r="73" spans="1:3" x14ac:dyDescent="0.2">
      <c r="A73" s="50">
        <v>2014</v>
      </c>
      <c r="B73" s="32">
        <v>517356</v>
      </c>
      <c r="C73" s="34" t="s">
        <v>118</v>
      </c>
    </row>
    <row r="74" spans="1:3" x14ac:dyDescent="0.2">
      <c r="A74" s="50">
        <v>2015</v>
      </c>
      <c r="B74" s="6">
        <v>481611</v>
      </c>
      <c r="C74" s="34" t="s">
        <v>119</v>
      </c>
    </row>
  </sheetData>
  <phoneticPr fontId="0" type="noConversion"/>
  <pageMargins left="0.75" right="0.75" top="1" bottom="1" header="0.5" footer="0.5"/>
  <pageSetup paperSize="9" scale="85" orientation="portrait"/>
  <headerFooter alignWithMargins="0">
    <oddFooter>&amp;LW:\acfm\hawg\2000\Personal\Martin\data\her_fad1999.xls, sheet: &amp;A&amp;Rdate printed: &amp;D (&amp;T)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M82"/>
  <sheetViews>
    <sheetView zoomScaleNormal="100" workbookViewId="0">
      <selection activeCell="C3" sqref="C3"/>
    </sheetView>
  </sheetViews>
  <sheetFormatPr defaultColWidth="8.85546875" defaultRowHeight="12.75" x14ac:dyDescent="0.2"/>
  <cols>
    <col min="1" max="1" width="8.85546875" style="49"/>
    <col min="2" max="2" width="10.42578125" bestFit="1" customWidth="1"/>
    <col min="3" max="4" width="9.42578125" bestFit="1" customWidth="1"/>
    <col min="5" max="5" width="10.42578125" customWidth="1"/>
    <col min="6" max="9" width="9.42578125" bestFit="1" customWidth="1"/>
    <col min="10" max="10" width="9.28515625" customWidth="1"/>
    <col min="11" max="11" width="9.42578125" bestFit="1" customWidth="1"/>
    <col min="12" max="13" width="8.85546875" customWidth="1"/>
    <col min="14" max="14" width="12.42578125" bestFit="1" customWidth="1"/>
  </cols>
  <sheetData>
    <row r="1" spans="1:12" x14ac:dyDescent="0.2">
      <c r="B1" s="9" t="s">
        <v>0</v>
      </c>
      <c r="C1" s="7"/>
      <c r="E1" s="15">
        <f ca="1">NOW()</f>
        <v>42452.710744560187</v>
      </c>
      <c r="F1" s="16">
        <f ca="1">NOW()</f>
        <v>42452.710744560187</v>
      </c>
    </row>
    <row r="2" spans="1:12" x14ac:dyDescent="0.2">
      <c r="B2" s="7">
        <v>1</v>
      </c>
      <c r="C2" s="7">
        <v>2</v>
      </c>
    </row>
    <row r="3" spans="1:12" x14ac:dyDescent="0.2">
      <c r="B3" s="7">
        <f>caton!$B$3</f>
        <v>1947</v>
      </c>
      <c r="C3" s="11">
        <f>B3+COUNT(B6:B98)-1</f>
        <v>2015</v>
      </c>
    </row>
    <row r="4" spans="1:12" x14ac:dyDescent="0.2">
      <c r="B4" s="7">
        <v>0</v>
      </c>
      <c r="C4" s="30">
        <f>B4+COUNT(B20:AA20)-1</f>
        <v>9</v>
      </c>
    </row>
    <row r="5" spans="1:12" x14ac:dyDescent="0.2">
      <c r="B5" s="7">
        <v>1</v>
      </c>
      <c r="C5" s="7"/>
    </row>
    <row r="6" spans="1:12" x14ac:dyDescent="0.2">
      <c r="A6" s="50">
        <v>1947</v>
      </c>
      <c r="B6" s="35">
        <v>0</v>
      </c>
      <c r="C6" s="35">
        <v>0</v>
      </c>
      <c r="D6" s="35">
        <v>494000</v>
      </c>
      <c r="E6" s="35">
        <v>415000</v>
      </c>
      <c r="F6" s="35">
        <v>638000</v>
      </c>
      <c r="G6" s="35">
        <v>526000</v>
      </c>
      <c r="H6" s="35">
        <v>756000</v>
      </c>
      <c r="I6" s="35">
        <v>431000</v>
      </c>
      <c r="J6" s="36">
        <v>1311000</v>
      </c>
      <c r="K6" s="38" t="s">
        <v>33</v>
      </c>
      <c r="L6" s="34" t="s">
        <v>20</v>
      </c>
    </row>
    <row r="7" spans="1:12" x14ac:dyDescent="0.2">
      <c r="A7" s="50">
        <v>1948</v>
      </c>
      <c r="B7" s="35">
        <v>0</v>
      </c>
      <c r="C7" s="35">
        <v>3000</v>
      </c>
      <c r="D7" s="35">
        <v>247000</v>
      </c>
      <c r="E7" s="35">
        <v>672000</v>
      </c>
      <c r="F7" s="35">
        <v>328000</v>
      </c>
      <c r="G7" s="35">
        <v>601000</v>
      </c>
      <c r="H7" s="35">
        <v>487000</v>
      </c>
      <c r="I7" s="35">
        <v>400000</v>
      </c>
      <c r="J7" s="36">
        <v>917000</v>
      </c>
      <c r="K7" s="38" t="s">
        <v>33</v>
      </c>
      <c r="L7" s="34" t="s">
        <v>21</v>
      </c>
    </row>
    <row r="8" spans="1:12" x14ac:dyDescent="0.2">
      <c r="A8" s="50">
        <v>1949</v>
      </c>
      <c r="B8" s="35">
        <v>0</v>
      </c>
      <c r="C8" s="35">
        <v>0</v>
      </c>
      <c r="D8" s="35">
        <v>478000</v>
      </c>
      <c r="E8" s="35">
        <v>644000</v>
      </c>
      <c r="F8" s="35">
        <v>396000</v>
      </c>
      <c r="G8" s="35">
        <v>287000</v>
      </c>
      <c r="H8" s="35">
        <v>652000</v>
      </c>
      <c r="I8" s="35">
        <v>462000</v>
      </c>
      <c r="J8" s="36">
        <v>1037000</v>
      </c>
      <c r="K8" s="38" t="s">
        <v>33</v>
      </c>
      <c r="L8" s="34" t="s">
        <v>22</v>
      </c>
    </row>
    <row r="9" spans="1:12" x14ac:dyDescent="0.2">
      <c r="A9" s="50">
        <v>1950</v>
      </c>
      <c r="B9" s="35">
        <v>0</v>
      </c>
      <c r="C9" s="35">
        <v>0</v>
      </c>
      <c r="D9" s="35">
        <v>535000</v>
      </c>
      <c r="E9" s="35">
        <v>1039000</v>
      </c>
      <c r="F9" s="35">
        <v>617000</v>
      </c>
      <c r="G9" s="35">
        <v>290000</v>
      </c>
      <c r="H9" s="35">
        <v>254000</v>
      </c>
      <c r="I9" s="35">
        <v>331000</v>
      </c>
      <c r="J9" s="36">
        <v>597000</v>
      </c>
      <c r="K9" s="38" t="s">
        <v>33</v>
      </c>
      <c r="L9" s="34" t="s">
        <v>23</v>
      </c>
    </row>
    <row r="10" spans="1:12" x14ac:dyDescent="0.2">
      <c r="A10" s="50">
        <v>1951</v>
      </c>
      <c r="B10" s="35">
        <v>0</v>
      </c>
      <c r="C10" s="35">
        <v>462000</v>
      </c>
      <c r="D10" s="35">
        <v>660000</v>
      </c>
      <c r="E10" s="35">
        <v>959000</v>
      </c>
      <c r="F10" s="35">
        <v>1255000</v>
      </c>
      <c r="G10" s="35">
        <v>630000</v>
      </c>
      <c r="H10" s="35">
        <v>262000</v>
      </c>
      <c r="I10" s="35">
        <v>142000</v>
      </c>
      <c r="J10" s="36">
        <v>445000</v>
      </c>
      <c r="K10" s="38" t="s">
        <v>33</v>
      </c>
      <c r="L10" s="34" t="s">
        <v>24</v>
      </c>
    </row>
    <row r="11" spans="1:12" x14ac:dyDescent="0.2">
      <c r="A11" s="50">
        <v>1952</v>
      </c>
      <c r="B11" s="35">
        <v>0</v>
      </c>
      <c r="C11" s="35">
        <v>722000</v>
      </c>
      <c r="D11" s="35">
        <v>1346000</v>
      </c>
      <c r="E11" s="35">
        <v>576000</v>
      </c>
      <c r="F11" s="35">
        <v>610000</v>
      </c>
      <c r="G11" s="35">
        <v>652000</v>
      </c>
      <c r="H11" s="35">
        <v>464000</v>
      </c>
      <c r="I11" s="35">
        <v>236000</v>
      </c>
      <c r="J11" s="36">
        <v>554000</v>
      </c>
      <c r="K11" s="38" t="s">
        <v>33</v>
      </c>
      <c r="L11" s="34" t="s">
        <v>25</v>
      </c>
    </row>
    <row r="12" spans="1:12" x14ac:dyDescent="0.2">
      <c r="A12" s="50">
        <v>1953</v>
      </c>
      <c r="B12" s="35">
        <v>150000</v>
      </c>
      <c r="C12" s="35">
        <v>1023000</v>
      </c>
      <c r="D12" s="35">
        <v>1322000</v>
      </c>
      <c r="E12" s="35">
        <v>1003000</v>
      </c>
      <c r="F12" s="35">
        <v>474000</v>
      </c>
      <c r="G12" s="35">
        <v>386000</v>
      </c>
      <c r="H12" s="35">
        <v>473000</v>
      </c>
      <c r="I12" s="35">
        <v>278000</v>
      </c>
      <c r="J12" s="36">
        <v>392000</v>
      </c>
      <c r="K12" s="38" t="s">
        <v>33</v>
      </c>
      <c r="L12" s="34" t="s">
        <v>26</v>
      </c>
    </row>
    <row r="13" spans="1:12" x14ac:dyDescent="0.2">
      <c r="A13" s="50">
        <v>1954</v>
      </c>
      <c r="B13" s="35">
        <v>219000</v>
      </c>
      <c r="C13" s="35">
        <v>1451000</v>
      </c>
      <c r="D13" s="35">
        <v>1493000</v>
      </c>
      <c r="E13" s="35">
        <v>1111000</v>
      </c>
      <c r="F13" s="35">
        <v>591000</v>
      </c>
      <c r="G13" s="35">
        <v>361000</v>
      </c>
      <c r="H13" s="35">
        <v>330000</v>
      </c>
      <c r="I13" s="35">
        <v>379000</v>
      </c>
      <c r="J13" s="36">
        <v>511000</v>
      </c>
      <c r="K13" s="38" t="s">
        <v>33</v>
      </c>
      <c r="L13" s="34" t="s">
        <v>27</v>
      </c>
    </row>
    <row r="14" spans="1:12" x14ac:dyDescent="0.2">
      <c r="A14" s="50">
        <v>1955</v>
      </c>
      <c r="B14" s="35">
        <v>164000</v>
      </c>
      <c r="C14" s="35">
        <v>2072000</v>
      </c>
      <c r="D14" s="35">
        <v>1931000</v>
      </c>
      <c r="E14" s="35">
        <v>1032000</v>
      </c>
      <c r="F14" s="35">
        <v>479000</v>
      </c>
      <c r="G14" s="35">
        <v>337000</v>
      </c>
      <c r="H14" s="35">
        <v>232000</v>
      </c>
      <c r="I14" s="35">
        <v>120000</v>
      </c>
      <c r="J14" s="36">
        <v>215000</v>
      </c>
      <c r="K14" s="38" t="s">
        <v>33</v>
      </c>
      <c r="L14" s="34" t="s">
        <v>28</v>
      </c>
    </row>
    <row r="15" spans="1:12" x14ac:dyDescent="0.2">
      <c r="A15" s="50">
        <v>1956</v>
      </c>
      <c r="B15" s="35">
        <v>96000</v>
      </c>
      <c r="C15" s="35">
        <v>1697000</v>
      </c>
      <c r="D15" s="35">
        <v>1860000</v>
      </c>
      <c r="E15" s="35">
        <v>1221000</v>
      </c>
      <c r="F15" s="35">
        <v>516000</v>
      </c>
      <c r="G15" s="35">
        <v>249000</v>
      </c>
      <c r="H15" s="35">
        <v>194000</v>
      </c>
      <c r="I15" s="35">
        <v>104000</v>
      </c>
      <c r="J15" s="36">
        <v>292000</v>
      </c>
      <c r="K15" s="38" t="s">
        <v>33</v>
      </c>
      <c r="L15" s="34" t="s">
        <v>29</v>
      </c>
    </row>
    <row r="16" spans="1:12" x14ac:dyDescent="0.2">
      <c r="A16" s="50">
        <v>1957</v>
      </c>
      <c r="B16" s="35">
        <v>279000</v>
      </c>
      <c r="C16" s="35">
        <v>1483000</v>
      </c>
      <c r="D16" s="35">
        <v>1644000</v>
      </c>
      <c r="E16" s="35">
        <v>736000</v>
      </c>
      <c r="F16" s="35">
        <v>644000</v>
      </c>
      <c r="G16" s="35">
        <v>344000</v>
      </c>
      <c r="H16" s="35">
        <v>207000</v>
      </c>
      <c r="I16" s="35">
        <v>147000</v>
      </c>
      <c r="J16" s="36">
        <v>253000</v>
      </c>
      <c r="K16" s="38" t="s">
        <v>33</v>
      </c>
      <c r="L16" s="34" t="s">
        <v>30</v>
      </c>
    </row>
    <row r="17" spans="1:12" x14ac:dyDescent="0.2">
      <c r="A17" s="50">
        <v>1958</v>
      </c>
      <c r="B17" s="35">
        <v>97000</v>
      </c>
      <c r="C17" s="35">
        <v>4279000</v>
      </c>
      <c r="D17" s="35">
        <v>1029000</v>
      </c>
      <c r="E17" s="35">
        <v>999000</v>
      </c>
      <c r="F17" s="35">
        <v>322000</v>
      </c>
      <c r="G17" s="35">
        <v>461000</v>
      </c>
      <c r="H17" s="35">
        <v>147000</v>
      </c>
      <c r="I17" s="35">
        <v>73000</v>
      </c>
      <c r="J17" s="36">
        <v>118000</v>
      </c>
      <c r="K17" s="38" t="s">
        <v>33</v>
      </c>
      <c r="L17" s="34" t="s">
        <v>31</v>
      </c>
    </row>
    <row r="18" spans="1:12" x14ac:dyDescent="0.2">
      <c r="A18" s="50">
        <v>1959</v>
      </c>
      <c r="B18" s="35">
        <v>0</v>
      </c>
      <c r="C18" s="35">
        <v>1609000</v>
      </c>
      <c r="D18" s="35">
        <v>4934000</v>
      </c>
      <c r="E18" s="35">
        <v>488000</v>
      </c>
      <c r="F18" s="35">
        <v>497000</v>
      </c>
      <c r="G18" s="35">
        <v>233000</v>
      </c>
      <c r="H18" s="35">
        <v>249000</v>
      </c>
      <c r="I18" s="35">
        <v>120000</v>
      </c>
      <c r="J18" s="36">
        <v>301000</v>
      </c>
      <c r="K18" s="38" t="s">
        <v>33</v>
      </c>
      <c r="L18" s="34" t="s">
        <v>32</v>
      </c>
    </row>
    <row r="19" spans="1:12" x14ac:dyDescent="0.2">
      <c r="A19" s="50">
        <v>1960</v>
      </c>
      <c r="B19" s="35">
        <v>194600</v>
      </c>
      <c r="C19" s="35">
        <v>2392700</v>
      </c>
      <c r="D19" s="35">
        <v>1142300</v>
      </c>
      <c r="E19" s="35">
        <v>1966700</v>
      </c>
      <c r="F19" s="35">
        <v>165900</v>
      </c>
      <c r="G19" s="35">
        <v>167700</v>
      </c>
      <c r="H19" s="35">
        <v>112900</v>
      </c>
      <c r="I19" s="35">
        <v>125800</v>
      </c>
      <c r="J19" s="36">
        <v>128600</v>
      </c>
      <c r="K19" s="36">
        <v>142000</v>
      </c>
    </row>
    <row r="20" spans="1:12" x14ac:dyDescent="0.2">
      <c r="A20" s="50">
        <v>1961</v>
      </c>
      <c r="B20" s="35">
        <v>1269200</v>
      </c>
      <c r="C20" s="35">
        <v>336000</v>
      </c>
      <c r="D20" s="35">
        <v>1889400</v>
      </c>
      <c r="E20" s="35">
        <v>479900</v>
      </c>
      <c r="F20" s="35">
        <v>1455900</v>
      </c>
      <c r="G20" s="35">
        <v>124000</v>
      </c>
      <c r="H20" s="35">
        <v>157900</v>
      </c>
      <c r="I20" s="35">
        <v>61400</v>
      </c>
      <c r="J20" s="36">
        <v>56000</v>
      </c>
      <c r="K20" s="36">
        <v>87500</v>
      </c>
    </row>
    <row r="21" spans="1:12" x14ac:dyDescent="0.2">
      <c r="A21" s="50">
        <v>1962</v>
      </c>
      <c r="B21" s="35">
        <v>141800</v>
      </c>
      <c r="C21" s="35">
        <v>2146900</v>
      </c>
      <c r="D21" s="35">
        <v>269600</v>
      </c>
      <c r="E21" s="35">
        <v>797400</v>
      </c>
      <c r="F21" s="35">
        <v>335100</v>
      </c>
      <c r="G21" s="35">
        <v>1081800</v>
      </c>
      <c r="H21" s="35">
        <v>126900</v>
      </c>
      <c r="I21" s="35">
        <v>145100</v>
      </c>
      <c r="J21" s="36">
        <v>86300</v>
      </c>
      <c r="K21" s="36">
        <v>86800</v>
      </c>
    </row>
    <row r="22" spans="1:12" x14ac:dyDescent="0.2">
      <c r="A22" s="50">
        <v>1963</v>
      </c>
      <c r="B22" s="35">
        <v>442800</v>
      </c>
      <c r="C22" s="35">
        <v>1262200</v>
      </c>
      <c r="D22" s="35">
        <v>2961200</v>
      </c>
      <c r="E22" s="35">
        <v>177200</v>
      </c>
      <c r="F22" s="35">
        <v>158300</v>
      </c>
      <c r="G22" s="35">
        <v>80600</v>
      </c>
      <c r="H22" s="35">
        <v>229700</v>
      </c>
      <c r="I22" s="35">
        <v>22400</v>
      </c>
      <c r="J22" s="36">
        <v>42000</v>
      </c>
      <c r="K22" s="36">
        <v>51000</v>
      </c>
    </row>
    <row r="23" spans="1:12" x14ac:dyDescent="0.2">
      <c r="A23" s="50">
        <v>1964</v>
      </c>
      <c r="B23" s="35">
        <v>496900</v>
      </c>
      <c r="C23" s="35">
        <v>2971700</v>
      </c>
      <c r="D23" s="35">
        <v>1547500</v>
      </c>
      <c r="E23" s="35">
        <v>2243100</v>
      </c>
      <c r="F23" s="35">
        <v>148400</v>
      </c>
      <c r="G23" s="35">
        <v>149000</v>
      </c>
      <c r="H23" s="35">
        <v>95000</v>
      </c>
      <c r="I23" s="35">
        <v>256300</v>
      </c>
      <c r="J23" s="36">
        <v>26300</v>
      </c>
      <c r="K23" s="36">
        <v>57700</v>
      </c>
    </row>
    <row r="24" spans="1:12" x14ac:dyDescent="0.2">
      <c r="A24" s="50">
        <v>1965</v>
      </c>
      <c r="B24" s="35">
        <v>157100</v>
      </c>
      <c r="C24" s="35">
        <v>3209300</v>
      </c>
      <c r="D24" s="35">
        <v>2217600</v>
      </c>
      <c r="E24" s="35">
        <v>1324600</v>
      </c>
      <c r="F24" s="35">
        <v>2039400</v>
      </c>
      <c r="G24" s="35">
        <v>145100</v>
      </c>
      <c r="H24" s="35">
        <v>151900</v>
      </c>
      <c r="I24" s="35">
        <v>117600</v>
      </c>
      <c r="J24" s="36">
        <v>413000</v>
      </c>
      <c r="K24" s="36">
        <v>78400</v>
      </c>
    </row>
    <row r="25" spans="1:12" x14ac:dyDescent="0.2">
      <c r="A25" s="50">
        <v>1966</v>
      </c>
      <c r="B25" s="35">
        <v>374500</v>
      </c>
      <c r="C25" s="35">
        <v>1383100</v>
      </c>
      <c r="D25" s="35">
        <v>2569700</v>
      </c>
      <c r="E25" s="35">
        <v>741200</v>
      </c>
      <c r="F25" s="35">
        <v>450100</v>
      </c>
      <c r="G25" s="35">
        <v>889800</v>
      </c>
      <c r="H25" s="35">
        <v>45300</v>
      </c>
      <c r="I25" s="35">
        <v>64800</v>
      </c>
      <c r="J25" s="36">
        <v>95500</v>
      </c>
      <c r="K25" s="35">
        <v>236300</v>
      </c>
      <c r="L25" s="13"/>
    </row>
    <row r="26" spans="1:12" x14ac:dyDescent="0.2">
      <c r="A26" s="50">
        <v>1967</v>
      </c>
      <c r="B26" s="35">
        <v>645400</v>
      </c>
      <c r="C26" s="35">
        <v>1674300</v>
      </c>
      <c r="D26" s="35">
        <v>1171500</v>
      </c>
      <c r="E26" s="35">
        <v>1364700</v>
      </c>
      <c r="F26" s="35">
        <v>371500</v>
      </c>
      <c r="G26" s="35">
        <v>297800</v>
      </c>
      <c r="H26" s="35">
        <v>393100</v>
      </c>
      <c r="I26" s="35">
        <v>67900</v>
      </c>
      <c r="J26" s="36">
        <v>81600</v>
      </c>
      <c r="K26" s="35">
        <v>172800</v>
      </c>
      <c r="L26" s="14"/>
    </row>
    <row r="27" spans="1:12" x14ac:dyDescent="0.2">
      <c r="A27" s="50">
        <v>1968</v>
      </c>
      <c r="B27" s="35">
        <v>839300</v>
      </c>
      <c r="C27" s="35">
        <v>2425000</v>
      </c>
      <c r="D27" s="35">
        <v>1795200</v>
      </c>
      <c r="E27" s="35">
        <v>1494300</v>
      </c>
      <c r="F27" s="35">
        <v>621400</v>
      </c>
      <c r="G27" s="35">
        <v>157100</v>
      </c>
      <c r="H27" s="35">
        <v>145000</v>
      </c>
      <c r="I27" s="35">
        <v>163400</v>
      </c>
      <c r="J27" s="36">
        <v>13700</v>
      </c>
      <c r="K27" s="35">
        <v>91800</v>
      </c>
      <c r="L27" s="14"/>
    </row>
    <row r="28" spans="1:12" x14ac:dyDescent="0.2">
      <c r="A28" s="50">
        <v>1969</v>
      </c>
      <c r="B28" s="35">
        <v>112000</v>
      </c>
      <c r="C28" s="35">
        <v>2503300</v>
      </c>
      <c r="D28" s="35">
        <v>1883000</v>
      </c>
      <c r="E28" s="35">
        <v>296300</v>
      </c>
      <c r="F28" s="35">
        <v>133100</v>
      </c>
      <c r="G28" s="35">
        <v>190800</v>
      </c>
      <c r="H28" s="35">
        <v>49900</v>
      </c>
      <c r="I28" s="35">
        <v>42700</v>
      </c>
      <c r="J28" s="36">
        <v>27400</v>
      </c>
      <c r="K28" s="35">
        <v>25100</v>
      </c>
      <c r="L28" s="14"/>
    </row>
    <row r="29" spans="1:12" x14ac:dyDescent="0.2">
      <c r="A29" s="50">
        <v>1970</v>
      </c>
      <c r="B29" s="35">
        <v>898100</v>
      </c>
      <c r="C29" s="35">
        <v>1196200</v>
      </c>
      <c r="D29" s="35">
        <v>2002800</v>
      </c>
      <c r="E29" s="35">
        <v>883600</v>
      </c>
      <c r="F29" s="35">
        <v>125200</v>
      </c>
      <c r="G29" s="35">
        <v>50300</v>
      </c>
      <c r="H29" s="35">
        <v>61000</v>
      </c>
      <c r="I29" s="35">
        <v>7900</v>
      </c>
      <c r="J29" s="36">
        <v>12000</v>
      </c>
      <c r="K29" s="35">
        <v>12200</v>
      </c>
      <c r="L29" s="13"/>
    </row>
    <row r="30" spans="1:12" x14ac:dyDescent="0.2">
      <c r="A30" s="50">
        <v>1971</v>
      </c>
      <c r="B30" s="35">
        <v>684000</v>
      </c>
      <c r="C30" s="35">
        <v>4378500</v>
      </c>
      <c r="D30" s="35">
        <v>1146800</v>
      </c>
      <c r="E30" s="35">
        <v>662500</v>
      </c>
      <c r="F30" s="35">
        <v>208300</v>
      </c>
      <c r="G30" s="35">
        <v>26900</v>
      </c>
      <c r="H30" s="35">
        <v>30500</v>
      </c>
      <c r="I30" s="35">
        <v>26800</v>
      </c>
      <c r="J30" s="36">
        <v>100</v>
      </c>
      <c r="K30" s="35">
        <v>12400</v>
      </c>
      <c r="L30" s="14"/>
    </row>
    <row r="31" spans="1:12" x14ac:dyDescent="0.2">
      <c r="A31" s="50">
        <v>1972</v>
      </c>
      <c r="B31" s="35">
        <v>750400</v>
      </c>
      <c r="C31" s="35">
        <v>3340600</v>
      </c>
      <c r="D31" s="35">
        <v>1440500</v>
      </c>
      <c r="E31" s="35">
        <v>343800</v>
      </c>
      <c r="F31" s="35">
        <v>130600</v>
      </c>
      <c r="G31" s="35">
        <v>32900</v>
      </c>
      <c r="H31" s="35">
        <v>5000</v>
      </c>
      <c r="I31" s="35">
        <v>200</v>
      </c>
      <c r="J31" s="36">
        <v>1100</v>
      </c>
      <c r="K31" s="35">
        <v>400</v>
      </c>
      <c r="L31" s="14"/>
    </row>
    <row r="32" spans="1:12" x14ac:dyDescent="0.2">
      <c r="A32" s="50">
        <v>1973</v>
      </c>
      <c r="B32" s="35">
        <v>289400</v>
      </c>
      <c r="C32" s="35">
        <v>2368000</v>
      </c>
      <c r="D32" s="35">
        <v>1344200</v>
      </c>
      <c r="E32" s="35">
        <v>659200</v>
      </c>
      <c r="F32" s="35">
        <v>150200</v>
      </c>
      <c r="G32" s="35">
        <v>59300</v>
      </c>
      <c r="H32" s="35">
        <v>30600</v>
      </c>
      <c r="I32" s="35">
        <v>3700</v>
      </c>
      <c r="J32" s="36">
        <v>1400</v>
      </c>
      <c r="K32" s="35">
        <v>600</v>
      </c>
      <c r="L32" s="14"/>
    </row>
    <row r="33" spans="1:12" x14ac:dyDescent="0.2">
      <c r="A33" s="50">
        <v>1974</v>
      </c>
      <c r="B33" s="35">
        <v>996100</v>
      </c>
      <c r="C33" s="35">
        <v>846100</v>
      </c>
      <c r="D33" s="35">
        <v>772600</v>
      </c>
      <c r="E33" s="35">
        <v>362000</v>
      </c>
      <c r="F33" s="35">
        <v>126000</v>
      </c>
      <c r="G33" s="35">
        <v>56100</v>
      </c>
      <c r="H33" s="35">
        <v>22300</v>
      </c>
      <c r="I33" s="35">
        <v>5000</v>
      </c>
      <c r="J33" s="36">
        <v>2000</v>
      </c>
      <c r="K33" s="35">
        <v>1100</v>
      </c>
      <c r="L33" s="13"/>
    </row>
    <row r="34" spans="1:12" x14ac:dyDescent="0.2">
      <c r="A34" s="50">
        <v>1975</v>
      </c>
      <c r="B34" s="35">
        <v>263800</v>
      </c>
      <c r="C34" s="35">
        <v>2460500</v>
      </c>
      <c r="D34" s="35">
        <v>541700</v>
      </c>
      <c r="E34" s="35">
        <v>259600</v>
      </c>
      <c r="F34" s="35">
        <v>140500</v>
      </c>
      <c r="G34" s="35">
        <v>57200</v>
      </c>
      <c r="H34" s="35">
        <v>16100</v>
      </c>
      <c r="I34" s="35">
        <v>9100</v>
      </c>
      <c r="J34" s="36">
        <v>3400</v>
      </c>
      <c r="K34" s="35">
        <v>1400</v>
      </c>
      <c r="L34" s="14"/>
    </row>
    <row r="35" spans="1:12" x14ac:dyDescent="0.2">
      <c r="A35" s="50">
        <v>1976</v>
      </c>
      <c r="B35" s="35">
        <v>238200</v>
      </c>
      <c r="C35" s="35">
        <v>126600</v>
      </c>
      <c r="D35" s="35">
        <v>901500</v>
      </c>
      <c r="E35" s="35">
        <v>117300</v>
      </c>
      <c r="F35" s="35">
        <v>52000</v>
      </c>
      <c r="G35" s="35">
        <v>34500</v>
      </c>
      <c r="H35" s="35">
        <v>6100</v>
      </c>
      <c r="I35" s="35">
        <v>4400</v>
      </c>
      <c r="J35" s="36">
        <v>1000</v>
      </c>
      <c r="K35" s="35">
        <v>400</v>
      </c>
      <c r="L35" s="14"/>
    </row>
    <row r="36" spans="1:12" x14ac:dyDescent="0.2">
      <c r="A36" s="50">
        <v>1977</v>
      </c>
      <c r="B36" s="35">
        <v>256800</v>
      </c>
      <c r="C36" s="35">
        <v>144300</v>
      </c>
      <c r="D36" s="35">
        <v>44700</v>
      </c>
      <c r="E36" s="35">
        <v>186400</v>
      </c>
      <c r="F36" s="35">
        <v>10800</v>
      </c>
      <c r="G36" s="35">
        <v>7000</v>
      </c>
      <c r="H36" s="35">
        <v>4100</v>
      </c>
      <c r="I36" s="35">
        <v>1500</v>
      </c>
      <c r="J36" s="36">
        <v>700</v>
      </c>
      <c r="K36" s="35">
        <v>0</v>
      </c>
      <c r="L36" s="14"/>
    </row>
    <row r="37" spans="1:12" x14ac:dyDescent="0.2">
      <c r="A37" s="50">
        <v>1978</v>
      </c>
      <c r="B37" s="35">
        <v>130000</v>
      </c>
      <c r="C37" s="35">
        <v>168600</v>
      </c>
      <c r="D37" s="35">
        <v>4900</v>
      </c>
      <c r="E37" s="35">
        <v>5700</v>
      </c>
      <c r="F37" s="35">
        <v>5000</v>
      </c>
      <c r="G37" s="35">
        <v>300</v>
      </c>
      <c r="H37" s="35">
        <v>200</v>
      </c>
      <c r="I37" s="35">
        <v>200</v>
      </c>
      <c r="J37" s="36">
        <v>200</v>
      </c>
      <c r="K37" s="35">
        <v>300</v>
      </c>
      <c r="L37" s="13"/>
    </row>
    <row r="38" spans="1:12" x14ac:dyDescent="0.2">
      <c r="A38" s="50">
        <v>1979</v>
      </c>
      <c r="B38" s="35">
        <v>542000</v>
      </c>
      <c r="C38" s="35">
        <v>159200</v>
      </c>
      <c r="D38" s="35">
        <v>34100</v>
      </c>
      <c r="E38" s="35">
        <v>10000</v>
      </c>
      <c r="F38" s="35">
        <v>10100</v>
      </c>
      <c r="G38" s="35">
        <v>2100</v>
      </c>
      <c r="H38" s="35">
        <v>200</v>
      </c>
      <c r="I38" s="35">
        <v>800</v>
      </c>
      <c r="J38" s="36">
        <v>600</v>
      </c>
      <c r="K38" s="35">
        <v>100</v>
      </c>
      <c r="L38" s="14"/>
    </row>
    <row r="39" spans="1:12" x14ac:dyDescent="0.2">
      <c r="A39" s="50">
        <v>1980</v>
      </c>
      <c r="B39" s="35">
        <v>1262700</v>
      </c>
      <c r="C39" s="35">
        <v>245100</v>
      </c>
      <c r="D39" s="35">
        <v>134000</v>
      </c>
      <c r="E39" s="35">
        <v>91800</v>
      </c>
      <c r="F39" s="35">
        <v>32200</v>
      </c>
      <c r="G39" s="35">
        <v>21700</v>
      </c>
      <c r="H39" s="35">
        <v>2300</v>
      </c>
      <c r="I39" s="35">
        <v>1400</v>
      </c>
      <c r="J39" s="36">
        <v>400</v>
      </c>
      <c r="K39" s="35">
        <v>100</v>
      </c>
      <c r="L39" s="14"/>
    </row>
    <row r="40" spans="1:12" x14ac:dyDescent="0.2">
      <c r="A40" s="50">
        <v>1981</v>
      </c>
      <c r="B40" s="35">
        <v>9519700</v>
      </c>
      <c r="C40" s="35">
        <v>872000</v>
      </c>
      <c r="D40" s="35">
        <v>284300</v>
      </c>
      <c r="E40" s="35">
        <v>56900</v>
      </c>
      <c r="F40" s="35">
        <v>39500</v>
      </c>
      <c r="G40" s="35">
        <v>28500</v>
      </c>
      <c r="H40" s="35">
        <v>22700</v>
      </c>
      <c r="I40" s="35">
        <v>18700</v>
      </c>
      <c r="J40" s="36">
        <v>5500</v>
      </c>
      <c r="K40" s="35">
        <v>1100</v>
      </c>
      <c r="L40" s="14"/>
    </row>
    <row r="41" spans="1:12" x14ac:dyDescent="0.2">
      <c r="A41" s="50">
        <v>1982</v>
      </c>
      <c r="B41" s="35">
        <v>11956700</v>
      </c>
      <c r="C41" s="35">
        <v>1116400</v>
      </c>
      <c r="D41" s="35">
        <v>299400</v>
      </c>
      <c r="E41" s="35">
        <v>230100</v>
      </c>
      <c r="F41" s="35">
        <v>33700</v>
      </c>
      <c r="G41" s="35">
        <v>14400</v>
      </c>
      <c r="H41" s="35">
        <v>6800</v>
      </c>
      <c r="I41" s="35">
        <v>7800</v>
      </c>
      <c r="J41" s="36">
        <v>3600</v>
      </c>
      <c r="K41" s="35">
        <v>1100</v>
      </c>
      <c r="L41" s="13"/>
    </row>
    <row r="42" spans="1:12" x14ac:dyDescent="0.2">
      <c r="A42" s="50">
        <v>1983</v>
      </c>
      <c r="B42" s="35">
        <v>13296900</v>
      </c>
      <c r="C42" s="35">
        <v>2448600</v>
      </c>
      <c r="D42" s="35">
        <v>573800</v>
      </c>
      <c r="E42" s="35">
        <v>216400</v>
      </c>
      <c r="F42" s="35">
        <v>105100</v>
      </c>
      <c r="G42" s="35">
        <v>26200</v>
      </c>
      <c r="H42" s="35">
        <v>22800</v>
      </c>
      <c r="I42" s="35">
        <v>12800</v>
      </c>
      <c r="J42" s="36">
        <v>11000</v>
      </c>
      <c r="K42" s="35">
        <v>12100</v>
      </c>
      <c r="L42" s="14"/>
    </row>
    <row r="43" spans="1:12" x14ac:dyDescent="0.2">
      <c r="A43" s="50">
        <v>1984</v>
      </c>
      <c r="B43" s="35">
        <v>6973300</v>
      </c>
      <c r="C43" s="35">
        <v>1818400</v>
      </c>
      <c r="D43" s="35">
        <v>1146200</v>
      </c>
      <c r="E43" s="35">
        <v>441400</v>
      </c>
      <c r="F43" s="35">
        <v>201500</v>
      </c>
      <c r="G43" s="35">
        <v>81100</v>
      </c>
      <c r="H43" s="35">
        <v>22600</v>
      </c>
      <c r="I43" s="35">
        <v>25200</v>
      </c>
      <c r="J43" s="36">
        <v>11100</v>
      </c>
      <c r="K43" s="35">
        <v>18600</v>
      </c>
      <c r="L43" s="14"/>
    </row>
    <row r="44" spans="1:12" x14ac:dyDescent="0.2">
      <c r="A44" s="50">
        <v>1985</v>
      </c>
      <c r="B44" s="35">
        <v>4211000</v>
      </c>
      <c r="C44" s="35">
        <v>3253000</v>
      </c>
      <c r="D44" s="35">
        <v>1326300</v>
      </c>
      <c r="E44" s="35">
        <v>1182400</v>
      </c>
      <c r="F44" s="35">
        <v>368500</v>
      </c>
      <c r="G44" s="35">
        <v>124500</v>
      </c>
      <c r="H44" s="35">
        <v>43600</v>
      </c>
      <c r="I44" s="35">
        <v>20200</v>
      </c>
      <c r="J44" s="36">
        <v>13100</v>
      </c>
      <c r="K44" s="35">
        <v>16100</v>
      </c>
      <c r="L44" s="14"/>
    </row>
    <row r="45" spans="1:12" x14ac:dyDescent="0.2">
      <c r="A45" s="50">
        <v>1986</v>
      </c>
      <c r="B45" s="35">
        <v>3724700</v>
      </c>
      <c r="C45" s="35">
        <v>4801400</v>
      </c>
      <c r="D45" s="35">
        <v>1266700</v>
      </c>
      <c r="E45" s="35">
        <v>840800</v>
      </c>
      <c r="F45" s="35">
        <v>465900</v>
      </c>
      <c r="G45" s="35">
        <v>129800</v>
      </c>
      <c r="H45" s="35">
        <v>62100</v>
      </c>
      <c r="I45" s="35">
        <v>20500</v>
      </c>
      <c r="J45" s="36">
        <v>13600</v>
      </c>
      <c r="K45" s="35">
        <v>14800</v>
      </c>
      <c r="L45" s="13"/>
    </row>
    <row r="46" spans="1:12" x14ac:dyDescent="0.2">
      <c r="A46" s="50">
        <v>1987</v>
      </c>
      <c r="B46" s="35">
        <v>8229200</v>
      </c>
      <c r="C46" s="35">
        <v>6836300</v>
      </c>
      <c r="D46" s="35">
        <v>2137200</v>
      </c>
      <c r="E46" s="35">
        <v>667900</v>
      </c>
      <c r="F46" s="35">
        <v>467100</v>
      </c>
      <c r="G46" s="35">
        <v>245800</v>
      </c>
      <c r="H46" s="35">
        <v>74700</v>
      </c>
      <c r="I46" s="35">
        <v>23800</v>
      </c>
      <c r="J46" s="36">
        <v>8000</v>
      </c>
      <c r="K46" s="35">
        <v>8200</v>
      </c>
      <c r="L46" s="14"/>
    </row>
    <row r="47" spans="1:12" x14ac:dyDescent="0.2">
      <c r="A47" s="50">
        <v>1988</v>
      </c>
      <c r="B47" s="35">
        <v>3164800</v>
      </c>
      <c r="C47" s="35">
        <v>7867000</v>
      </c>
      <c r="D47" s="35">
        <v>2232500</v>
      </c>
      <c r="E47" s="35">
        <v>1090700</v>
      </c>
      <c r="F47" s="35">
        <v>383700</v>
      </c>
      <c r="G47" s="35">
        <v>255800</v>
      </c>
      <c r="H47" s="35">
        <v>128100</v>
      </c>
      <c r="I47" s="35">
        <v>38000</v>
      </c>
      <c r="J47" s="36">
        <v>15300</v>
      </c>
      <c r="K47" s="35">
        <v>8500</v>
      </c>
      <c r="L47" s="14"/>
    </row>
    <row r="48" spans="1:12" x14ac:dyDescent="0.2">
      <c r="A48" s="50">
        <v>1989</v>
      </c>
      <c r="B48" s="35">
        <v>3057800</v>
      </c>
      <c r="C48" s="35">
        <v>3145900</v>
      </c>
      <c r="D48" s="35">
        <v>1593700</v>
      </c>
      <c r="E48" s="35">
        <v>1363800</v>
      </c>
      <c r="F48" s="35">
        <v>809300</v>
      </c>
      <c r="G48" s="35">
        <v>211800</v>
      </c>
      <c r="H48" s="35">
        <v>123700</v>
      </c>
      <c r="I48" s="35">
        <v>61000</v>
      </c>
      <c r="J48" s="36">
        <v>19500</v>
      </c>
      <c r="K48" s="35">
        <v>8700</v>
      </c>
      <c r="L48" s="14"/>
    </row>
    <row r="49" spans="1:12" x14ac:dyDescent="0.2">
      <c r="A49" s="50">
        <v>1990</v>
      </c>
      <c r="B49" s="35">
        <v>1302800</v>
      </c>
      <c r="C49" s="35">
        <v>3020000</v>
      </c>
      <c r="D49" s="35">
        <v>899300</v>
      </c>
      <c r="E49" s="35">
        <v>779100</v>
      </c>
      <c r="F49" s="35">
        <v>861000</v>
      </c>
      <c r="G49" s="35">
        <v>387500</v>
      </c>
      <c r="H49" s="35">
        <v>80200</v>
      </c>
      <c r="I49" s="35">
        <v>54400</v>
      </c>
      <c r="J49" s="37">
        <v>28800</v>
      </c>
      <c r="K49" s="35">
        <v>11900</v>
      </c>
      <c r="L49" s="13"/>
    </row>
    <row r="50" spans="1:12" x14ac:dyDescent="0.2">
      <c r="A50" s="50">
        <v>1991</v>
      </c>
      <c r="B50" s="37">
        <v>2386600</v>
      </c>
      <c r="C50" s="37">
        <v>2138900</v>
      </c>
      <c r="D50" s="37">
        <v>1132800</v>
      </c>
      <c r="E50" s="37">
        <v>556700</v>
      </c>
      <c r="F50" s="37">
        <v>548900</v>
      </c>
      <c r="G50" s="37">
        <v>501200</v>
      </c>
      <c r="H50" s="37">
        <v>205300</v>
      </c>
      <c r="I50" s="37">
        <v>39300</v>
      </c>
      <c r="J50" s="37">
        <v>25600</v>
      </c>
      <c r="K50" s="37">
        <v>13000</v>
      </c>
      <c r="L50" s="21"/>
    </row>
    <row r="51" spans="1:12" x14ac:dyDescent="0.2">
      <c r="A51" s="50">
        <v>1992</v>
      </c>
      <c r="B51" s="37">
        <v>10331300</v>
      </c>
      <c r="C51" s="37">
        <v>2303100</v>
      </c>
      <c r="D51" s="37">
        <v>1284900</v>
      </c>
      <c r="E51" s="37">
        <v>442700</v>
      </c>
      <c r="F51" s="37">
        <v>361500</v>
      </c>
      <c r="G51" s="37">
        <v>360500</v>
      </c>
      <c r="H51" s="37">
        <v>375600</v>
      </c>
      <c r="I51" s="37">
        <v>152400</v>
      </c>
      <c r="J51" s="37">
        <v>39200</v>
      </c>
      <c r="K51" s="37">
        <v>23300</v>
      </c>
      <c r="L51" s="21"/>
    </row>
    <row r="52" spans="1:12" x14ac:dyDescent="0.2">
      <c r="A52" s="50">
        <v>1993</v>
      </c>
      <c r="B52" s="37">
        <v>10265400</v>
      </c>
      <c r="C52" s="37">
        <v>3826800</v>
      </c>
      <c r="D52" s="37">
        <v>1176300</v>
      </c>
      <c r="E52" s="37">
        <v>609000</v>
      </c>
      <c r="F52" s="37">
        <v>305500</v>
      </c>
      <c r="G52" s="37">
        <v>215600</v>
      </c>
      <c r="H52" s="37">
        <v>226000</v>
      </c>
      <c r="I52" s="37">
        <v>188000</v>
      </c>
      <c r="J52" s="37">
        <v>87300</v>
      </c>
      <c r="K52" s="37">
        <v>41700</v>
      </c>
      <c r="L52" s="21"/>
    </row>
    <row r="53" spans="1:12" x14ac:dyDescent="0.2">
      <c r="A53" s="50">
        <v>1994</v>
      </c>
      <c r="B53" s="37">
        <v>4498900</v>
      </c>
      <c r="C53" s="37">
        <v>1785200</v>
      </c>
      <c r="D53" s="37">
        <v>1783200</v>
      </c>
      <c r="E53" s="37">
        <v>489100</v>
      </c>
      <c r="F53" s="37">
        <v>347600</v>
      </c>
      <c r="G53" s="37">
        <v>109000</v>
      </c>
      <c r="H53" s="37">
        <v>91800</v>
      </c>
      <c r="I53" s="37">
        <v>76400</v>
      </c>
      <c r="J53" s="37">
        <v>70000</v>
      </c>
      <c r="K53" s="37">
        <v>46600</v>
      </c>
      <c r="L53" s="21"/>
    </row>
    <row r="54" spans="1:12" x14ac:dyDescent="0.2">
      <c r="A54" s="50">
        <v>1995</v>
      </c>
      <c r="B54" s="37">
        <v>7438469</v>
      </c>
      <c r="C54" s="37">
        <v>1664874</v>
      </c>
      <c r="D54" s="37">
        <v>1444061</v>
      </c>
      <c r="E54" s="37">
        <v>816703</v>
      </c>
      <c r="F54" s="37">
        <v>231794</v>
      </c>
      <c r="G54" s="37">
        <v>118536</v>
      </c>
      <c r="H54" s="37">
        <v>55128</v>
      </c>
      <c r="I54" s="37">
        <v>41409</v>
      </c>
      <c r="J54" s="37">
        <v>68955</v>
      </c>
      <c r="K54" s="37">
        <v>29245</v>
      </c>
      <c r="L54" s="21"/>
    </row>
    <row r="55" spans="1:12" x14ac:dyDescent="0.2">
      <c r="A55" s="50">
        <v>1996</v>
      </c>
      <c r="B55" s="37">
        <v>2311226</v>
      </c>
      <c r="C55" s="37">
        <v>1606393</v>
      </c>
      <c r="D55" s="37">
        <v>642084</v>
      </c>
      <c r="E55" s="37">
        <v>525601</v>
      </c>
      <c r="F55" s="37">
        <v>172099</v>
      </c>
      <c r="G55" s="37">
        <v>57586</v>
      </c>
      <c r="H55" s="37">
        <v>22534</v>
      </c>
      <c r="I55" s="37">
        <v>9264</v>
      </c>
      <c r="J55" s="37">
        <v>17195</v>
      </c>
      <c r="K55" s="37">
        <v>3948</v>
      </c>
      <c r="L55" s="21"/>
    </row>
    <row r="56" spans="1:12" x14ac:dyDescent="0.2">
      <c r="A56" s="50">
        <v>1997</v>
      </c>
      <c r="B56" s="37">
        <v>431175</v>
      </c>
      <c r="C56" s="37">
        <v>479702</v>
      </c>
      <c r="D56" s="37">
        <v>687920</v>
      </c>
      <c r="E56" s="37">
        <v>446909</v>
      </c>
      <c r="F56" s="37">
        <v>284920</v>
      </c>
      <c r="G56" s="37">
        <v>109178</v>
      </c>
      <c r="H56" s="37">
        <v>31389</v>
      </c>
      <c r="I56" s="37">
        <v>11832</v>
      </c>
      <c r="J56" s="37">
        <v>18770</v>
      </c>
      <c r="K56" s="37">
        <v>5697</v>
      </c>
      <c r="L56" s="21"/>
    </row>
    <row r="57" spans="1:12" x14ac:dyDescent="0.2">
      <c r="A57" s="50">
        <v>1998</v>
      </c>
      <c r="B57" s="37">
        <v>259526</v>
      </c>
      <c r="C57" s="37">
        <v>977680</v>
      </c>
      <c r="D57" s="37">
        <v>1220105</v>
      </c>
      <c r="E57" s="37">
        <v>537932</v>
      </c>
      <c r="F57" s="37">
        <v>276333</v>
      </c>
      <c r="G57" s="37">
        <v>175817</v>
      </c>
      <c r="H57" s="37">
        <v>88927</v>
      </c>
      <c r="I57" s="37">
        <v>15232</v>
      </c>
      <c r="J57" s="37">
        <v>16766</v>
      </c>
      <c r="K57" s="37">
        <v>3784</v>
      </c>
      <c r="L57" s="21"/>
    </row>
    <row r="58" spans="1:12" x14ac:dyDescent="0.2">
      <c r="A58" s="50">
        <v>1999</v>
      </c>
      <c r="B58" s="37">
        <v>1566349</v>
      </c>
      <c r="C58" s="37">
        <v>303520</v>
      </c>
      <c r="D58" s="37">
        <v>616354</v>
      </c>
      <c r="E58" s="37">
        <v>1058716</v>
      </c>
      <c r="F58" s="37">
        <v>294066</v>
      </c>
      <c r="G58" s="37">
        <v>135648</v>
      </c>
      <c r="H58" s="37">
        <v>69299</v>
      </c>
      <c r="I58" s="37">
        <v>27998</v>
      </c>
      <c r="J58" s="37">
        <v>10174</v>
      </c>
      <c r="K58" s="37">
        <v>2054</v>
      </c>
      <c r="L58" s="21"/>
    </row>
    <row r="59" spans="1:12" x14ac:dyDescent="0.2">
      <c r="A59" s="50">
        <v>2000</v>
      </c>
      <c r="B59" s="37">
        <v>1105085</v>
      </c>
      <c r="C59" s="37">
        <v>1171677</v>
      </c>
      <c r="D59" s="37">
        <v>622853</v>
      </c>
      <c r="E59" s="37">
        <v>463170</v>
      </c>
      <c r="F59" s="37">
        <v>646814</v>
      </c>
      <c r="G59" s="37">
        <v>213466</v>
      </c>
      <c r="H59" s="37">
        <v>82481</v>
      </c>
      <c r="I59" s="37">
        <v>35706</v>
      </c>
      <c r="J59" s="37">
        <v>14624</v>
      </c>
      <c r="K59" s="37">
        <v>2463</v>
      </c>
      <c r="L59" s="21"/>
    </row>
    <row r="60" spans="1:12" x14ac:dyDescent="0.2">
      <c r="A60" s="50">
        <v>2001</v>
      </c>
      <c r="B60" s="37">
        <v>1832691</v>
      </c>
      <c r="C60" s="37">
        <v>614469</v>
      </c>
      <c r="D60" s="37">
        <v>842635</v>
      </c>
      <c r="E60" s="37">
        <v>485628</v>
      </c>
      <c r="F60" s="37">
        <v>278884</v>
      </c>
      <c r="G60" s="37">
        <v>321743</v>
      </c>
      <c r="H60" s="37">
        <v>90918</v>
      </c>
      <c r="I60" s="37">
        <v>38252</v>
      </c>
      <c r="J60" s="37">
        <v>17910</v>
      </c>
      <c r="K60" s="37">
        <v>2692</v>
      </c>
      <c r="L60" s="21"/>
    </row>
    <row r="61" spans="1:12" x14ac:dyDescent="0.2">
      <c r="A61" s="50">
        <v>2002</v>
      </c>
      <c r="B61" s="37">
        <v>730279</v>
      </c>
      <c r="C61" s="37">
        <v>837557</v>
      </c>
      <c r="D61" s="37">
        <v>579592</v>
      </c>
      <c r="E61" s="37">
        <v>970577</v>
      </c>
      <c r="F61" s="37">
        <v>292205</v>
      </c>
      <c r="G61" s="37">
        <v>140701</v>
      </c>
      <c r="H61" s="37">
        <v>174570</v>
      </c>
      <c r="I61" s="37">
        <v>48908</v>
      </c>
      <c r="J61" s="37">
        <v>34620</v>
      </c>
      <c r="K61" s="37">
        <v>8702</v>
      </c>
      <c r="L61" s="21"/>
    </row>
    <row r="62" spans="1:12" x14ac:dyDescent="0.2">
      <c r="A62" s="50">
        <v>2003</v>
      </c>
      <c r="B62" s="37">
        <v>369074</v>
      </c>
      <c r="C62" s="37">
        <v>617021</v>
      </c>
      <c r="D62" s="37">
        <v>1221992</v>
      </c>
      <c r="E62" s="37">
        <v>529386</v>
      </c>
      <c r="F62" s="37">
        <v>835552</v>
      </c>
      <c r="G62" s="37">
        <v>244780</v>
      </c>
      <c r="H62" s="37">
        <v>107751</v>
      </c>
      <c r="I62" s="37">
        <v>123291</v>
      </c>
      <c r="J62" s="37">
        <v>37671</v>
      </c>
      <c r="K62" s="37">
        <v>9044</v>
      </c>
      <c r="L62" s="21"/>
    </row>
    <row r="63" spans="1:12" x14ac:dyDescent="0.2">
      <c r="A63" s="50">
        <v>2004</v>
      </c>
      <c r="B63" s="37">
        <v>715597</v>
      </c>
      <c r="C63" s="37">
        <v>206648</v>
      </c>
      <c r="D63" s="37">
        <v>447918</v>
      </c>
      <c r="E63" s="37">
        <v>1366155</v>
      </c>
      <c r="F63" s="37">
        <v>543376</v>
      </c>
      <c r="G63" s="37">
        <v>753231</v>
      </c>
      <c r="H63" s="37">
        <v>169324</v>
      </c>
      <c r="I63" s="37">
        <v>104945</v>
      </c>
      <c r="J63" s="37">
        <v>65341</v>
      </c>
      <c r="K63" s="37">
        <v>31801</v>
      </c>
      <c r="L63" s="21"/>
    </row>
    <row r="64" spans="1:12" x14ac:dyDescent="0.2">
      <c r="A64" s="50">
        <v>2005</v>
      </c>
      <c r="B64" s="37">
        <v>1015554</v>
      </c>
      <c r="C64" s="37">
        <v>715547</v>
      </c>
      <c r="D64" s="37">
        <v>355453</v>
      </c>
      <c r="E64" s="37">
        <v>485746</v>
      </c>
      <c r="F64" s="37">
        <v>1318647</v>
      </c>
      <c r="G64" s="37">
        <v>479961</v>
      </c>
      <c r="H64" s="37">
        <v>576154</v>
      </c>
      <c r="I64" s="37">
        <v>115212</v>
      </c>
      <c r="J64" s="37">
        <v>88311</v>
      </c>
      <c r="K64" s="37">
        <v>58497</v>
      </c>
      <c r="L64" s="21"/>
    </row>
    <row r="65" spans="1:13" x14ac:dyDescent="0.2">
      <c r="A65" s="50">
        <v>2006</v>
      </c>
      <c r="B65" s="37">
        <v>878637</v>
      </c>
      <c r="C65" s="37">
        <v>222111</v>
      </c>
      <c r="D65" s="37">
        <v>401087</v>
      </c>
      <c r="E65" s="37">
        <v>310602</v>
      </c>
      <c r="F65" s="37">
        <v>464620</v>
      </c>
      <c r="G65" s="37">
        <v>997782</v>
      </c>
      <c r="H65" s="37">
        <v>252150</v>
      </c>
      <c r="I65" s="37">
        <v>247042</v>
      </c>
      <c r="J65" s="37">
        <v>63035</v>
      </c>
      <c r="K65" s="37">
        <v>43377</v>
      </c>
      <c r="L65" s="21"/>
    </row>
    <row r="66" spans="1:13" x14ac:dyDescent="0.2">
      <c r="A66" s="50">
        <v>2007</v>
      </c>
      <c r="B66" s="37">
        <v>621005</v>
      </c>
      <c r="C66" s="37">
        <v>235553</v>
      </c>
      <c r="D66" s="37">
        <v>219115</v>
      </c>
      <c r="E66" s="37">
        <v>417452</v>
      </c>
      <c r="F66" s="37">
        <v>285746</v>
      </c>
      <c r="G66" s="37">
        <v>309454</v>
      </c>
      <c r="H66" s="37">
        <v>629187</v>
      </c>
      <c r="I66" s="37">
        <v>147830</v>
      </c>
      <c r="J66" s="37">
        <v>133388</v>
      </c>
      <c r="K66" s="37">
        <v>23362</v>
      </c>
      <c r="L66" s="21"/>
    </row>
    <row r="67" spans="1:13" x14ac:dyDescent="0.2">
      <c r="A67" s="50">
        <v>2008</v>
      </c>
      <c r="B67" s="37">
        <v>798284</v>
      </c>
      <c r="C67" s="37">
        <v>235022</v>
      </c>
      <c r="D67" s="37">
        <v>331772</v>
      </c>
      <c r="E67" s="37">
        <v>184771</v>
      </c>
      <c r="F67" s="37">
        <v>199069</v>
      </c>
      <c r="G67" s="37">
        <v>137529</v>
      </c>
      <c r="H67" s="37">
        <v>118349</v>
      </c>
      <c r="I67" s="37">
        <v>215542</v>
      </c>
      <c r="J67" s="37">
        <v>74339</v>
      </c>
      <c r="K67" s="37">
        <v>42919</v>
      </c>
      <c r="L67" s="21"/>
    </row>
    <row r="68" spans="1:13" x14ac:dyDescent="0.2">
      <c r="A68" s="50">
        <v>2009</v>
      </c>
      <c r="B68" s="37">
        <v>650043</v>
      </c>
      <c r="C68" s="37">
        <v>175923</v>
      </c>
      <c r="D68" s="37">
        <v>259434</v>
      </c>
      <c r="E68" s="37">
        <v>106738</v>
      </c>
      <c r="F68" s="37">
        <v>93321</v>
      </c>
      <c r="G68" s="37">
        <v>86137</v>
      </c>
      <c r="H68" s="37">
        <v>37951</v>
      </c>
      <c r="I68" s="37">
        <v>53130</v>
      </c>
      <c r="J68" s="37">
        <v>110394</v>
      </c>
      <c r="K68" s="37">
        <v>32737</v>
      </c>
      <c r="L68" s="21"/>
    </row>
    <row r="69" spans="1:13" x14ac:dyDescent="0.2">
      <c r="A69" s="50">
        <v>2010</v>
      </c>
      <c r="B69" s="37">
        <v>574895</v>
      </c>
      <c r="C69" s="37">
        <v>280728</v>
      </c>
      <c r="D69" s="37">
        <v>293887</v>
      </c>
      <c r="E69" s="37">
        <v>236804</v>
      </c>
      <c r="F69" s="37">
        <v>126241</v>
      </c>
      <c r="G69" s="37">
        <v>83893</v>
      </c>
      <c r="H69" s="37">
        <v>61542</v>
      </c>
      <c r="I69" s="37">
        <v>33305</v>
      </c>
      <c r="J69" s="37">
        <v>59142</v>
      </c>
      <c r="K69" s="37">
        <v>54533</v>
      </c>
      <c r="L69" s="21"/>
    </row>
    <row r="70" spans="1:13" x14ac:dyDescent="0.2">
      <c r="A70" s="50">
        <v>2011</v>
      </c>
      <c r="B70" s="37">
        <v>778927</v>
      </c>
      <c r="C70" s="37">
        <v>159504</v>
      </c>
      <c r="D70" s="37">
        <v>367820</v>
      </c>
      <c r="E70" s="37">
        <v>275016</v>
      </c>
      <c r="F70" s="37">
        <v>218711</v>
      </c>
      <c r="G70" s="37">
        <v>130127</v>
      </c>
      <c r="H70" s="37">
        <v>62938</v>
      </c>
      <c r="I70" s="37">
        <v>52081</v>
      </c>
      <c r="J70" s="37">
        <v>60028</v>
      </c>
      <c r="K70" s="37">
        <v>65706</v>
      </c>
      <c r="L70" s="21"/>
    </row>
    <row r="71" spans="1:13" x14ac:dyDescent="0.2">
      <c r="A71" s="50">
        <v>2012</v>
      </c>
      <c r="B71" s="37">
        <v>773241</v>
      </c>
      <c r="C71" s="37">
        <v>284906</v>
      </c>
      <c r="D71" s="37">
        <v>455259</v>
      </c>
      <c r="E71" s="37">
        <v>673465</v>
      </c>
      <c r="F71" s="37">
        <v>404265</v>
      </c>
      <c r="G71" s="37">
        <v>306234</v>
      </c>
      <c r="H71" s="37">
        <v>152577</v>
      </c>
      <c r="I71" s="37">
        <v>104461</v>
      </c>
      <c r="J71" s="37">
        <v>90607</v>
      </c>
      <c r="K71" s="37">
        <v>114820</v>
      </c>
      <c r="L71" s="21"/>
    </row>
    <row r="72" spans="1:13" x14ac:dyDescent="0.2">
      <c r="A72" s="50">
        <v>2013</v>
      </c>
      <c r="B72" s="37">
        <v>461571</v>
      </c>
      <c r="C72" s="37">
        <v>413000</v>
      </c>
      <c r="D72" s="37">
        <v>324920</v>
      </c>
      <c r="E72" s="37">
        <v>485185</v>
      </c>
      <c r="F72" s="37">
        <v>571269</v>
      </c>
      <c r="G72" s="37">
        <v>422765</v>
      </c>
      <c r="H72" s="37">
        <v>327213</v>
      </c>
      <c r="I72" s="37">
        <v>145330</v>
      </c>
      <c r="J72" s="37">
        <v>152815</v>
      </c>
      <c r="K72" s="37">
        <v>160823</v>
      </c>
      <c r="L72" s="21"/>
    </row>
    <row r="73" spans="1:13" x14ac:dyDescent="0.2">
      <c r="A73" s="50">
        <v>2014</v>
      </c>
      <c r="B73" s="37">
        <v>1388685</v>
      </c>
      <c r="C73" s="37">
        <v>370590</v>
      </c>
      <c r="D73" s="37">
        <v>382990</v>
      </c>
      <c r="E73" s="37">
        <v>386131</v>
      </c>
      <c r="F73" s="37">
        <v>616563</v>
      </c>
      <c r="G73" s="37">
        <v>487582</v>
      </c>
      <c r="H73" s="37">
        <v>284562</v>
      </c>
      <c r="I73" s="37">
        <v>191729</v>
      </c>
      <c r="J73" s="37">
        <v>91696</v>
      </c>
      <c r="K73" s="37">
        <v>122817</v>
      </c>
      <c r="L73" s="21"/>
    </row>
    <row r="74" spans="1:13" x14ac:dyDescent="0.2">
      <c r="A74" s="50">
        <v>2015</v>
      </c>
      <c r="B74" s="53">
        <v>507521.84</v>
      </c>
      <c r="C74" s="53">
        <v>225313.64</v>
      </c>
      <c r="D74" s="53">
        <v>454328.03</v>
      </c>
      <c r="E74" s="53">
        <v>241464.09</v>
      </c>
      <c r="F74" s="53">
        <v>282961.81</v>
      </c>
      <c r="G74" s="53">
        <v>460019.53</v>
      </c>
      <c r="H74" s="53">
        <v>432760.06</v>
      </c>
      <c r="I74" s="53">
        <v>271519.88</v>
      </c>
      <c r="J74" s="53">
        <v>168099.89</v>
      </c>
      <c r="K74" s="53">
        <v>171531.17</v>
      </c>
      <c r="L74" s="21"/>
      <c r="M74" s="21"/>
    </row>
    <row r="75" spans="1:13" x14ac:dyDescent="0.2"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</row>
    <row r="76" spans="1:13" x14ac:dyDescent="0.2"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</row>
    <row r="77" spans="1:13" x14ac:dyDescent="0.2"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</row>
    <row r="78" spans="1:13" x14ac:dyDescent="0.2"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</row>
    <row r="79" spans="1:13" x14ac:dyDescent="0.2"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</row>
    <row r="80" spans="1:13" x14ac:dyDescent="0.2"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</row>
    <row r="81" spans="2:13" x14ac:dyDescent="0.2"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</row>
    <row r="82" spans="2:13" x14ac:dyDescent="0.2"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</row>
  </sheetData>
  <phoneticPr fontId="0" type="noConversion"/>
  <pageMargins left="0.75" right="0.75" top="1" bottom="1" header="0.5" footer="0.5"/>
  <pageSetup paperSize="9" scale="85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L74"/>
  <sheetViews>
    <sheetView zoomScaleNormal="100" workbookViewId="0"/>
  </sheetViews>
  <sheetFormatPr defaultColWidth="8.85546875" defaultRowHeight="12.75" x14ac:dyDescent="0.2"/>
  <cols>
    <col min="1" max="1" width="8.85546875" style="49"/>
    <col min="2" max="5" width="8.85546875" customWidth="1"/>
    <col min="6" max="6" width="10.42578125" customWidth="1"/>
  </cols>
  <sheetData>
    <row r="1" spans="1:12" x14ac:dyDescent="0.2">
      <c r="B1" s="9" t="s">
        <v>7</v>
      </c>
      <c r="C1" s="7"/>
      <c r="F1" s="15">
        <f ca="1">NOW()</f>
        <v>42452.710744560187</v>
      </c>
      <c r="G1" s="16">
        <f ca="1">NOW()</f>
        <v>42452.710744560187</v>
      </c>
    </row>
    <row r="2" spans="1:12" x14ac:dyDescent="0.2">
      <c r="B2" s="7">
        <v>1</v>
      </c>
      <c r="C2" s="7">
        <v>3</v>
      </c>
    </row>
    <row r="3" spans="1:12" x14ac:dyDescent="0.2">
      <c r="B3" s="7">
        <f>caton!$B$3</f>
        <v>1947</v>
      </c>
      <c r="C3" s="11">
        <f>B3+COUNT(B6:B99)-1</f>
        <v>2015</v>
      </c>
    </row>
    <row r="4" spans="1:12" x14ac:dyDescent="0.2">
      <c r="B4" s="7">
        <v>0</v>
      </c>
      <c r="C4" s="30">
        <f>B4+COUNT(B20:AA20)-1</f>
        <v>9</v>
      </c>
    </row>
    <row r="5" spans="1:12" x14ac:dyDescent="0.2">
      <c r="B5" s="7">
        <v>1</v>
      </c>
      <c r="C5" s="7"/>
    </row>
    <row r="6" spans="1:12" x14ac:dyDescent="0.2">
      <c r="A6" s="50">
        <v>1947</v>
      </c>
      <c r="B6" s="3">
        <v>1.4999999999999999E-2</v>
      </c>
      <c r="C6" s="3">
        <v>0.05</v>
      </c>
      <c r="D6" s="3">
        <v>0.122</v>
      </c>
      <c r="E6" s="3">
        <v>0.14000000000000001</v>
      </c>
      <c r="F6" s="3">
        <v>0.156</v>
      </c>
      <c r="G6" s="3">
        <v>0.17100000000000001</v>
      </c>
      <c r="H6" s="3">
        <v>0.185</v>
      </c>
      <c r="I6" s="3">
        <v>0.19700000000000001</v>
      </c>
      <c r="J6" s="3">
        <v>0.21299999999999999</v>
      </c>
      <c r="K6" s="34" t="s">
        <v>33</v>
      </c>
      <c r="L6" s="34" t="s">
        <v>20</v>
      </c>
    </row>
    <row r="7" spans="1:12" x14ac:dyDescent="0.2">
      <c r="A7" s="50">
        <v>1948</v>
      </c>
      <c r="B7" s="3">
        <v>1.4999999999999999E-2</v>
      </c>
      <c r="C7" s="3">
        <v>0.05</v>
      </c>
      <c r="D7" s="3">
        <v>0.122</v>
      </c>
      <c r="E7" s="3">
        <v>0.14000000000000001</v>
      </c>
      <c r="F7" s="3">
        <v>0.156</v>
      </c>
      <c r="G7" s="3">
        <v>0.17100000000000001</v>
      </c>
      <c r="H7" s="3">
        <v>0.185</v>
      </c>
      <c r="I7" s="3">
        <v>0.19700000000000001</v>
      </c>
      <c r="J7" s="3">
        <v>0.21299999999999999</v>
      </c>
      <c r="K7" s="34" t="s">
        <v>33</v>
      </c>
      <c r="L7" s="34" t="s">
        <v>21</v>
      </c>
    </row>
    <row r="8" spans="1:12" x14ac:dyDescent="0.2">
      <c r="A8" s="50">
        <v>1949</v>
      </c>
      <c r="B8" s="3">
        <v>1.4999999999999999E-2</v>
      </c>
      <c r="C8" s="3">
        <v>0.05</v>
      </c>
      <c r="D8" s="3">
        <v>0.128</v>
      </c>
      <c r="E8" s="3">
        <v>0.14499999999999999</v>
      </c>
      <c r="F8" s="3">
        <v>0.161</v>
      </c>
      <c r="G8" s="3">
        <v>0.17599999999999999</v>
      </c>
      <c r="H8" s="3">
        <v>0.189</v>
      </c>
      <c r="I8" s="3">
        <v>0.20100000000000001</v>
      </c>
      <c r="J8" s="3">
        <v>0.216</v>
      </c>
      <c r="K8" s="34" t="s">
        <v>33</v>
      </c>
      <c r="L8" s="34" t="s">
        <v>22</v>
      </c>
    </row>
    <row r="9" spans="1:12" x14ac:dyDescent="0.2">
      <c r="A9" s="50">
        <v>1950</v>
      </c>
      <c r="B9" s="3">
        <v>1.4999999999999999E-2</v>
      </c>
      <c r="C9" s="3">
        <v>0.05</v>
      </c>
      <c r="D9" s="3">
        <v>0.128</v>
      </c>
      <c r="E9" s="3">
        <v>0.151</v>
      </c>
      <c r="F9" s="3">
        <v>0.16600000000000001</v>
      </c>
      <c r="G9" s="3">
        <v>0.18</v>
      </c>
      <c r="H9" s="3">
        <v>0.193</v>
      </c>
      <c r="I9" s="3">
        <v>0.20399999999999999</v>
      </c>
      <c r="J9" s="3">
        <v>0.219</v>
      </c>
      <c r="K9" s="34" t="s">
        <v>33</v>
      </c>
      <c r="L9" s="34" t="s">
        <v>23</v>
      </c>
    </row>
    <row r="10" spans="1:12" x14ac:dyDescent="0.2">
      <c r="A10" s="50">
        <v>1951</v>
      </c>
      <c r="B10" s="3">
        <v>1.4999999999999999E-2</v>
      </c>
      <c r="C10" s="3">
        <v>0.05</v>
      </c>
      <c r="D10" s="3">
        <v>0.13400000000000001</v>
      </c>
      <c r="E10" s="3">
        <v>0.157</v>
      </c>
      <c r="F10" s="3">
        <v>0.17599999999999999</v>
      </c>
      <c r="G10" s="3">
        <v>0.189</v>
      </c>
      <c r="H10" s="3">
        <v>0.20100000000000001</v>
      </c>
      <c r="I10" s="3">
        <v>0.21099999999999999</v>
      </c>
      <c r="J10" s="3">
        <v>0.224</v>
      </c>
      <c r="K10" s="34" t="s">
        <v>33</v>
      </c>
      <c r="L10" s="34" t="s">
        <v>24</v>
      </c>
    </row>
    <row r="11" spans="1:12" x14ac:dyDescent="0.2">
      <c r="A11" s="50">
        <v>1952</v>
      </c>
      <c r="B11" s="3">
        <v>1.4999999999999999E-2</v>
      </c>
      <c r="C11" s="3">
        <v>0.05</v>
      </c>
      <c r="D11" s="3">
        <v>0.13700000000000001</v>
      </c>
      <c r="E11" s="3">
        <v>0.16500000000000001</v>
      </c>
      <c r="F11" s="3">
        <v>0.183</v>
      </c>
      <c r="G11" s="3">
        <v>0.19900000000000001</v>
      </c>
      <c r="H11" s="3">
        <v>0.21</v>
      </c>
      <c r="I11" s="3">
        <v>0.219</v>
      </c>
      <c r="J11" s="3">
        <v>0.23100000000000001</v>
      </c>
      <c r="K11" s="34" t="s">
        <v>33</v>
      </c>
      <c r="L11" s="34" t="s">
        <v>25</v>
      </c>
    </row>
    <row r="12" spans="1:12" x14ac:dyDescent="0.2">
      <c r="A12" s="50">
        <v>1953</v>
      </c>
      <c r="B12" s="3">
        <v>1.4999999999999999E-2</v>
      </c>
      <c r="C12" s="3">
        <v>0.05</v>
      </c>
      <c r="D12" s="3">
        <v>0.13700000000000001</v>
      </c>
      <c r="E12" s="3">
        <v>0.16700000000000001</v>
      </c>
      <c r="F12" s="3">
        <v>0.19</v>
      </c>
      <c r="G12" s="3">
        <v>0.20499999999999999</v>
      </c>
      <c r="H12" s="3">
        <v>0.218</v>
      </c>
      <c r="I12" s="3">
        <v>0.22600000000000001</v>
      </c>
      <c r="J12" s="3">
        <v>0.23699999999999999</v>
      </c>
      <c r="K12" s="34" t="s">
        <v>33</v>
      </c>
      <c r="L12" s="34" t="s">
        <v>26</v>
      </c>
    </row>
    <row r="13" spans="1:12" x14ac:dyDescent="0.2">
      <c r="A13" s="50">
        <v>1954</v>
      </c>
      <c r="B13" s="3">
        <v>1.4999999999999999E-2</v>
      </c>
      <c r="C13" s="3">
        <v>0.05</v>
      </c>
      <c r="D13" s="3">
        <v>0.13900000000000001</v>
      </c>
      <c r="E13" s="3">
        <v>0.16900000000000001</v>
      </c>
      <c r="F13" s="3">
        <v>0.193</v>
      </c>
      <c r="G13" s="3">
        <v>0.21099999999999999</v>
      </c>
      <c r="H13" s="3">
        <v>0.223</v>
      </c>
      <c r="I13" s="3">
        <v>0.23300000000000001</v>
      </c>
      <c r="J13" s="3">
        <v>0.24199999999999999</v>
      </c>
      <c r="K13" s="34" t="s">
        <v>33</v>
      </c>
      <c r="L13" s="34" t="s">
        <v>27</v>
      </c>
    </row>
    <row r="14" spans="1:12" x14ac:dyDescent="0.2">
      <c r="A14" s="50">
        <v>1955</v>
      </c>
      <c r="B14" s="3">
        <v>1.4999999999999999E-2</v>
      </c>
      <c r="C14" s="3">
        <v>0.05</v>
      </c>
      <c r="D14" s="3">
        <v>0.14000000000000001</v>
      </c>
      <c r="E14" s="3">
        <v>0.17</v>
      </c>
      <c r="F14" s="3">
        <v>0.19500000000000001</v>
      </c>
      <c r="G14" s="3">
        <v>0.214</v>
      </c>
      <c r="H14" s="3">
        <v>0.22800000000000001</v>
      </c>
      <c r="I14" s="3">
        <v>0.23799999999999999</v>
      </c>
      <c r="J14" s="3">
        <v>0.248</v>
      </c>
      <c r="K14" s="34" t="s">
        <v>33</v>
      </c>
      <c r="L14" s="34" t="s">
        <v>28</v>
      </c>
    </row>
    <row r="15" spans="1:12" x14ac:dyDescent="0.2">
      <c r="A15" s="50">
        <v>1956</v>
      </c>
      <c r="B15" s="3">
        <v>1.4999999999999999E-2</v>
      </c>
      <c r="C15" s="3">
        <v>0.05</v>
      </c>
      <c r="D15" s="3">
        <v>0.14000000000000001</v>
      </c>
      <c r="E15" s="3">
        <v>0.17199999999999999</v>
      </c>
      <c r="F15" s="3">
        <v>0.19700000000000001</v>
      </c>
      <c r="G15" s="3">
        <v>0.216</v>
      </c>
      <c r="H15" s="3">
        <v>0.23100000000000001</v>
      </c>
      <c r="I15" s="3">
        <v>0.24199999999999999</v>
      </c>
      <c r="J15" s="3">
        <v>0.251</v>
      </c>
      <c r="K15" s="34" t="s">
        <v>33</v>
      </c>
      <c r="L15" s="34" t="s">
        <v>29</v>
      </c>
    </row>
    <row r="16" spans="1:12" x14ac:dyDescent="0.2">
      <c r="A16" s="50">
        <v>1957</v>
      </c>
      <c r="B16" s="3">
        <v>1.4999999999999999E-2</v>
      </c>
      <c r="C16" s="3">
        <v>0.05</v>
      </c>
      <c r="D16" s="3">
        <v>0.14099999999999999</v>
      </c>
      <c r="E16" s="3">
        <v>0.17299999999999999</v>
      </c>
      <c r="F16" s="3">
        <v>0.19800000000000001</v>
      </c>
      <c r="G16" s="3">
        <v>0.218</v>
      </c>
      <c r="H16" s="3">
        <v>0.23300000000000001</v>
      </c>
      <c r="I16" s="3">
        <v>0.24399999999999999</v>
      </c>
      <c r="J16" s="3">
        <v>0.254</v>
      </c>
      <c r="K16" s="34" t="s">
        <v>33</v>
      </c>
      <c r="L16" s="34" t="s">
        <v>30</v>
      </c>
    </row>
    <row r="17" spans="1:12" x14ac:dyDescent="0.2">
      <c r="A17" s="50">
        <v>1958</v>
      </c>
      <c r="B17" s="3">
        <v>1.4999999999999999E-2</v>
      </c>
      <c r="C17" s="3">
        <v>0.05</v>
      </c>
      <c r="D17" s="3">
        <v>0.14099999999999999</v>
      </c>
      <c r="E17" s="3">
        <v>0.17399999999999999</v>
      </c>
      <c r="F17" s="3">
        <v>0.19900000000000001</v>
      </c>
      <c r="G17" s="3">
        <v>0.219</v>
      </c>
      <c r="H17" s="3">
        <v>0.23400000000000001</v>
      </c>
      <c r="I17" s="3">
        <v>0.245</v>
      </c>
      <c r="J17" s="3">
        <v>0.25600000000000001</v>
      </c>
      <c r="K17" s="34" t="s">
        <v>33</v>
      </c>
      <c r="L17" s="34" t="s">
        <v>31</v>
      </c>
    </row>
    <row r="18" spans="1:12" x14ac:dyDescent="0.2">
      <c r="A18" s="50">
        <v>1959</v>
      </c>
      <c r="B18" s="3">
        <v>1.4999999999999999E-2</v>
      </c>
      <c r="C18" s="3">
        <v>0.05</v>
      </c>
      <c r="D18" s="3">
        <v>0.14299999999999999</v>
      </c>
      <c r="E18" s="3">
        <v>0.17599999999999999</v>
      </c>
      <c r="F18" s="3">
        <v>0.20100000000000001</v>
      </c>
      <c r="G18" s="3">
        <v>0.221</v>
      </c>
      <c r="H18" s="3">
        <v>0.23599999999999999</v>
      </c>
      <c r="I18" s="3">
        <v>0.247</v>
      </c>
      <c r="J18" s="3">
        <v>0.25800000000000001</v>
      </c>
      <c r="K18" s="34" t="s">
        <v>33</v>
      </c>
      <c r="L18" s="34" t="s">
        <v>32</v>
      </c>
    </row>
    <row r="19" spans="1:12" x14ac:dyDescent="0.2">
      <c r="A19" s="50">
        <v>1960</v>
      </c>
      <c r="B19" s="3">
        <v>1.4999999999999999E-2</v>
      </c>
      <c r="C19" s="3">
        <v>0.05</v>
      </c>
      <c r="D19" s="3">
        <v>0.126</v>
      </c>
      <c r="E19" s="3">
        <v>0.17599999999999999</v>
      </c>
      <c r="F19" s="3">
        <v>0.21099999999999999</v>
      </c>
      <c r="G19" s="3">
        <v>0.24299999999999999</v>
      </c>
      <c r="H19" s="3">
        <v>0.251</v>
      </c>
      <c r="I19" s="3">
        <v>0.26700000000000002</v>
      </c>
      <c r="J19" s="3">
        <v>0.27100000000000002</v>
      </c>
      <c r="K19">
        <v>0.27100000000000002</v>
      </c>
    </row>
    <row r="20" spans="1:12" x14ac:dyDescent="0.2">
      <c r="A20" s="50">
        <v>1961</v>
      </c>
      <c r="B20" s="3">
        <v>1.4999999999999999E-2</v>
      </c>
      <c r="C20" s="3">
        <v>0.05</v>
      </c>
      <c r="D20" s="3">
        <v>0.126</v>
      </c>
      <c r="E20" s="3">
        <v>0.17599999999999999</v>
      </c>
      <c r="F20" s="3">
        <v>0.21099999999999999</v>
      </c>
      <c r="G20" s="3">
        <v>0.24299999999999999</v>
      </c>
      <c r="H20" s="3">
        <v>0.251</v>
      </c>
      <c r="I20" s="3">
        <v>0.26700000000000002</v>
      </c>
      <c r="J20" s="3">
        <v>0.27100000000000002</v>
      </c>
      <c r="K20">
        <v>0.27100000000000002</v>
      </c>
    </row>
    <row r="21" spans="1:12" x14ac:dyDescent="0.2">
      <c r="A21" s="50">
        <v>1962</v>
      </c>
      <c r="B21" s="3">
        <v>1.4999999999999999E-2</v>
      </c>
      <c r="C21" s="3">
        <v>0.05</v>
      </c>
      <c r="D21" s="3">
        <v>0.126</v>
      </c>
      <c r="E21" s="3">
        <v>0.17599999999999999</v>
      </c>
      <c r="F21" s="3">
        <v>0.21099999999999999</v>
      </c>
      <c r="G21" s="3">
        <v>0.24299999999999999</v>
      </c>
      <c r="H21" s="3">
        <v>0.251</v>
      </c>
      <c r="I21" s="3">
        <v>0.26700000000000002</v>
      </c>
      <c r="J21" s="3">
        <v>0.27100000000000002</v>
      </c>
      <c r="K21">
        <v>0.27100000000000002</v>
      </c>
    </row>
    <row r="22" spans="1:12" x14ac:dyDescent="0.2">
      <c r="A22" s="50">
        <v>1963</v>
      </c>
      <c r="B22" s="3">
        <v>1.4999999999999999E-2</v>
      </c>
      <c r="C22" s="3">
        <v>0.05</v>
      </c>
      <c r="D22" s="3">
        <v>0.126</v>
      </c>
      <c r="E22" s="3">
        <v>0.17599999999999999</v>
      </c>
      <c r="F22" s="3">
        <v>0.21099999999999999</v>
      </c>
      <c r="G22" s="3">
        <v>0.24299999999999999</v>
      </c>
      <c r="H22" s="3">
        <v>0.251</v>
      </c>
      <c r="I22" s="3">
        <v>0.26700000000000002</v>
      </c>
      <c r="J22" s="3">
        <v>0.27100000000000002</v>
      </c>
      <c r="K22">
        <v>0.27100000000000002</v>
      </c>
    </row>
    <row r="23" spans="1:12" x14ac:dyDescent="0.2">
      <c r="A23" s="50">
        <v>1964</v>
      </c>
      <c r="B23" s="3">
        <v>1.4999999999999999E-2</v>
      </c>
      <c r="C23" s="3">
        <v>0.05</v>
      </c>
      <c r="D23" s="3">
        <v>0.126</v>
      </c>
      <c r="E23" s="3">
        <v>0.17599999999999999</v>
      </c>
      <c r="F23" s="3">
        <v>0.21099999999999999</v>
      </c>
      <c r="G23" s="3">
        <v>0.24299999999999999</v>
      </c>
      <c r="H23" s="3">
        <v>0.251</v>
      </c>
      <c r="I23" s="3">
        <v>0.26700000000000002</v>
      </c>
      <c r="J23" s="3">
        <v>0.27100000000000002</v>
      </c>
      <c r="K23">
        <v>0.27100000000000002</v>
      </c>
    </row>
    <row r="24" spans="1:12" x14ac:dyDescent="0.2">
      <c r="A24" s="50">
        <v>1965</v>
      </c>
      <c r="B24" s="3">
        <v>1.4999999999999999E-2</v>
      </c>
      <c r="C24" s="3">
        <v>0.05</v>
      </c>
      <c r="D24" s="3">
        <v>0.126</v>
      </c>
      <c r="E24" s="3">
        <v>0.17599999999999999</v>
      </c>
      <c r="F24" s="3">
        <v>0.21099999999999999</v>
      </c>
      <c r="G24" s="3">
        <v>0.24299999999999999</v>
      </c>
      <c r="H24" s="3">
        <v>0.251</v>
      </c>
      <c r="I24" s="3">
        <v>0.26700000000000002</v>
      </c>
      <c r="J24" s="3">
        <v>0.27100000000000002</v>
      </c>
      <c r="K24">
        <v>0.27100000000000002</v>
      </c>
    </row>
    <row r="25" spans="1:12" x14ac:dyDescent="0.2">
      <c r="A25" s="50">
        <v>1966</v>
      </c>
      <c r="B25" s="3">
        <v>1.4999999999999999E-2</v>
      </c>
      <c r="C25" s="3">
        <v>0.05</v>
      </c>
      <c r="D25" s="3">
        <v>0.126</v>
      </c>
      <c r="E25" s="3">
        <v>0.17599999999999999</v>
      </c>
      <c r="F25" s="3">
        <v>0.21099999999999999</v>
      </c>
      <c r="G25" s="3">
        <v>0.24299999999999999</v>
      </c>
      <c r="H25" s="3">
        <v>0.251</v>
      </c>
      <c r="I25" s="3">
        <v>0.26700000000000002</v>
      </c>
      <c r="J25" s="3">
        <v>0.27100000000000002</v>
      </c>
      <c r="K25">
        <v>0.27100000000000002</v>
      </c>
      <c r="L25" s="27"/>
    </row>
    <row r="26" spans="1:12" x14ac:dyDescent="0.2">
      <c r="A26" s="50">
        <v>1967</v>
      </c>
      <c r="B26" s="3">
        <v>1.4999999999999999E-2</v>
      </c>
      <c r="C26" s="3">
        <v>0.05</v>
      </c>
      <c r="D26" s="3">
        <v>0.126</v>
      </c>
      <c r="E26" s="3">
        <v>0.17599999999999999</v>
      </c>
      <c r="F26" s="3">
        <v>0.21099999999999999</v>
      </c>
      <c r="G26" s="3">
        <v>0.24299999999999999</v>
      </c>
      <c r="H26" s="3">
        <v>0.251</v>
      </c>
      <c r="I26" s="3">
        <v>0.26700000000000002</v>
      </c>
      <c r="J26" s="3">
        <v>0.27100000000000002</v>
      </c>
      <c r="K26">
        <v>0.27100000000000002</v>
      </c>
      <c r="L26" s="27"/>
    </row>
    <row r="27" spans="1:12" x14ac:dyDescent="0.2">
      <c r="A27" s="50">
        <v>1968</v>
      </c>
      <c r="B27" s="3">
        <v>1.4999999999999999E-2</v>
      </c>
      <c r="C27" s="3">
        <v>0.05</v>
      </c>
      <c r="D27" s="3">
        <v>0.126</v>
      </c>
      <c r="E27" s="3">
        <v>0.17599999999999999</v>
      </c>
      <c r="F27" s="3">
        <v>0.21099999999999999</v>
      </c>
      <c r="G27" s="3">
        <v>0.24299999999999999</v>
      </c>
      <c r="H27" s="3">
        <v>0.251</v>
      </c>
      <c r="I27" s="3">
        <v>0.26700000000000002</v>
      </c>
      <c r="J27" s="3">
        <v>0.27100000000000002</v>
      </c>
      <c r="K27">
        <v>0.27100000000000002</v>
      </c>
      <c r="L27" s="27"/>
    </row>
    <row r="28" spans="1:12" x14ac:dyDescent="0.2">
      <c r="A28" s="50">
        <v>1969</v>
      </c>
      <c r="B28" s="3">
        <v>1.4999999999999999E-2</v>
      </c>
      <c r="C28" s="3">
        <v>0.05</v>
      </c>
      <c r="D28" s="3">
        <v>0.126</v>
      </c>
      <c r="E28" s="3">
        <v>0.17599999999999999</v>
      </c>
      <c r="F28" s="3">
        <v>0.21099999999999999</v>
      </c>
      <c r="G28" s="3">
        <v>0.24299999999999999</v>
      </c>
      <c r="H28" s="3">
        <v>0.251</v>
      </c>
      <c r="I28" s="3">
        <v>0.26700000000000002</v>
      </c>
      <c r="J28" s="3">
        <v>0.27100000000000002</v>
      </c>
      <c r="K28">
        <v>0.27100000000000002</v>
      </c>
      <c r="L28" s="27"/>
    </row>
    <row r="29" spans="1:12" x14ac:dyDescent="0.2">
      <c r="A29" s="50">
        <v>1970</v>
      </c>
      <c r="B29" s="3">
        <v>1.4999999999999999E-2</v>
      </c>
      <c r="C29" s="3">
        <v>0.05</v>
      </c>
      <c r="D29" s="3">
        <v>0.126</v>
      </c>
      <c r="E29" s="3">
        <v>0.17599999999999999</v>
      </c>
      <c r="F29" s="3">
        <v>0.21099999999999999</v>
      </c>
      <c r="G29" s="3">
        <v>0.24299999999999999</v>
      </c>
      <c r="H29" s="3">
        <v>0.251</v>
      </c>
      <c r="I29" s="3">
        <v>0.26700000000000002</v>
      </c>
      <c r="J29" s="3">
        <v>0.27100000000000002</v>
      </c>
      <c r="K29">
        <v>0.27100000000000002</v>
      </c>
      <c r="L29" s="27"/>
    </row>
    <row r="30" spans="1:12" x14ac:dyDescent="0.2">
      <c r="A30" s="50">
        <v>1971</v>
      </c>
      <c r="B30" s="3">
        <v>1.4999999999999999E-2</v>
      </c>
      <c r="C30" s="3">
        <v>0.05</v>
      </c>
      <c r="D30" s="3">
        <v>0.126</v>
      </c>
      <c r="E30" s="3">
        <v>0.17599999999999999</v>
      </c>
      <c r="F30" s="3">
        <v>0.21099999999999999</v>
      </c>
      <c r="G30" s="3">
        <v>0.24299999999999999</v>
      </c>
      <c r="H30" s="3">
        <v>0.251</v>
      </c>
      <c r="I30" s="3">
        <v>0.26700000000000002</v>
      </c>
      <c r="J30" s="3">
        <v>0.27100000000000002</v>
      </c>
      <c r="K30">
        <v>0.27100000000000002</v>
      </c>
      <c r="L30" s="27"/>
    </row>
    <row r="31" spans="1:12" x14ac:dyDescent="0.2">
      <c r="A31" s="50">
        <v>1972</v>
      </c>
      <c r="B31" s="3">
        <v>1.4999999999999999E-2</v>
      </c>
      <c r="C31" s="3">
        <v>0.05</v>
      </c>
      <c r="D31" s="3">
        <v>0.126</v>
      </c>
      <c r="E31" s="3">
        <v>0.17599999999999999</v>
      </c>
      <c r="F31" s="3">
        <v>0.21099999999999999</v>
      </c>
      <c r="G31" s="3">
        <v>0.24299999999999999</v>
      </c>
      <c r="H31" s="3">
        <v>0.251</v>
      </c>
      <c r="I31" s="3">
        <v>0.26700000000000002</v>
      </c>
      <c r="J31" s="3">
        <v>0.27100000000000002</v>
      </c>
      <c r="K31">
        <v>0.27100000000000002</v>
      </c>
      <c r="L31" s="27"/>
    </row>
    <row r="32" spans="1:12" x14ac:dyDescent="0.2">
      <c r="A32" s="50">
        <v>1973</v>
      </c>
      <c r="B32" s="3">
        <v>1.4999999999999999E-2</v>
      </c>
      <c r="C32" s="3">
        <v>0.05</v>
      </c>
      <c r="D32" s="3">
        <v>0.126</v>
      </c>
      <c r="E32" s="3">
        <v>0.17599999999999999</v>
      </c>
      <c r="F32" s="3">
        <v>0.21099999999999999</v>
      </c>
      <c r="G32" s="3">
        <v>0.24299999999999999</v>
      </c>
      <c r="H32" s="3">
        <v>0.251</v>
      </c>
      <c r="I32" s="3">
        <v>0.26700000000000002</v>
      </c>
      <c r="J32" s="3">
        <v>0.27100000000000002</v>
      </c>
      <c r="K32">
        <v>0.27100000000000002</v>
      </c>
      <c r="L32" s="27"/>
    </row>
    <row r="33" spans="1:12" x14ac:dyDescent="0.2">
      <c r="A33" s="50">
        <v>1974</v>
      </c>
      <c r="B33" s="3">
        <v>1.4999999999999999E-2</v>
      </c>
      <c r="C33" s="3">
        <v>0.05</v>
      </c>
      <c r="D33" s="3">
        <v>0.126</v>
      </c>
      <c r="E33" s="3">
        <v>0.17599999999999999</v>
      </c>
      <c r="F33" s="3">
        <v>0.21099999999999999</v>
      </c>
      <c r="G33" s="3">
        <v>0.24299999999999999</v>
      </c>
      <c r="H33" s="3">
        <v>0.251</v>
      </c>
      <c r="I33" s="3">
        <v>0.26700000000000002</v>
      </c>
      <c r="J33" s="3">
        <v>0.27100000000000002</v>
      </c>
      <c r="K33">
        <v>0.27100000000000002</v>
      </c>
      <c r="L33" s="27"/>
    </row>
    <row r="34" spans="1:12" x14ac:dyDescent="0.2">
      <c r="A34" s="50">
        <v>1975</v>
      </c>
      <c r="B34" s="3">
        <v>1.4999999999999999E-2</v>
      </c>
      <c r="C34" s="3">
        <v>0.05</v>
      </c>
      <c r="D34" s="3">
        <v>0.126</v>
      </c>
      <c r="E34" s="3">
        <v>0.17599999999999999</v>
      </c>
      <c r="F34" s="3">
        <v>0.21099999999999999</v>
      </c>
      <c r="G34" s="3">
        <v>0.24299999999999999</v>
      </c>
      <c r="H34" s="3">
        <v>0.251</v>
      </c>
      <c r="I34" s="3">
        <v>0.26700000000000002</v>
      </c>
      <c r="J34" s="3">
        <v>0.27100000000000002</v>
      </c>
      <c r="K34">
        <v>0.27100000000000002</v>
      </c>
      <c r="L34" s="27"/>
    </row>
    <row r="35" spans="1:12" x14ac:dyDescent="0.2">
      <c r="A35" s="50">
        <v>1976</v>
      </c>
      <c r="B35" s="3">
        <v>1.4999999999999999E-2</v>
      </c>
      <c r="C35" s="3">
        <v>0.05</v>
      </c>
      <c r="D35" s="3">
        <v>0.126</v>
      </c>
      <c r="E35" s="3">
        <v>0.17599999999999999</v>
      </c>
      <c r="F35" s="3">
        <v>0.21099999999999999</v>
      </c>
      <c r="G35" s="3">
        <v>0.24299999999999999</v>
      </c>
      <c r="H35" s="3">
        <v>0.251</v>
      </c>
      <c r="I35" s="3">
        <v>0.26700000000000002</v>
      </c>
      <c r="J35" s="3">
        <v>0.27100000000000002</v>
      </c>
      <c r="K35">
        <v>0.27100000000000002</v>
      </c>
      <c r="L35" s="27"/>
    </row>
    <row r="36" spans="1:12" x14ac:dyDescent="0.2">
      <c r="A36" s="50">
        <v>1977</v>
      </c>
      <c r="B36" s="28">
        <v>1.4999999999999999E-2</v>
      </c>
      <c r="C36" s="28">
        <v>0.05</v>
      </c>
      <c r="D36" s="28">
        <v>0.126</v>
      </c>
      <c r="E36" s="28">
        <v>0.17599999999999999</v>
      </c>
      <c r="F36" s="28">
        <v>0.21099999999999999</v>
      </c>
      <c r="G36" s="28">
        <v>0.24299999999999999</v>
      </c>
      <c r="H36" s="28">
        <v>0.251</v>
      </c>
      <c r="I36" s="28">
        <v>0.26700000000000002</v>
      </c>
      <c r="J36" s="28">
        <v>0.27100000000000002</v>
      </c>
      <c r="K36">
        <v>0.27100000000000002</v>
      </c>
      <c r="L36" s="27"/>
    </row>
    <row r="37" spans="1:12" x14ac:dyDescent="0.2">
      <c r="A37" s="50">
        <v>1978</v>
      </c>
      <c r="B37" s="3">
        <v>1.4999999999999999E-2</v>
      </c>
      <c r="C37" s="3">
        <v>0.05</v>
      </c>
      <c r="D37" s="3">
        <v>0.126</v>
      </c>
      <c r="E37" s="3">
        <v>0.17599999999999999</v>
      </c>
      <c r="F37" s="3">
        <v>0.21099999999999999</v>
      </c>
      <c r="G37" s="3">
        <v>0.24299999999999999</v>
      </c>
      <c r="H37" s="3">
        <v>0.251</v>
      </c>
      <c r="I37" s="3">
        <v>0.26700000000000002</v>
      </c>
      <c r="J37" s="3">
        <v>0.27100000000000002</v>
      </c>
      <c r="K37">
        <v>0.27100000000000002</v>
      </c>
      <c r="L37" s="27"/>
    </row>
    <row r="38" spans="1:12" x14ac:dyDescent="0.2">
      <c r="A38" s="50">
        <v>1979</v>
      </c>
      <c r="B38" s="3">
        <v>1.4999999999999999E-2</v>
      </c>
      <c r="C38" s="3">
        <v>0.05</v>
      </c>
      <c r="D38" s="3">
        <v>0.126</v>
      </c>
      <c r="E38" s="3">
        <v>0.17599999999999999</v>
      </c>
      <c r="F38" s="3">
        <v>0.21099999999999999</v>
      </c>
      <c r="G38" s="3">
        <v>0.24299999999999999</v>
      </c>
      <c r="H38" s="3">
        <v>0.251</v>
      </c>
      <c r="I38" s="3">
        <v>0.26700000000000002</v>
      </c>
      <c r="J38" s="3">
        <v>0.27100000000000002</v>
      </c>
      <c r="K38">
        <v>0.27100000000000002</v>
      </c>
      <c r="L38" s="27"/>
    </row>
    <row r="39" spans="1:12" x14ac:dyDescent="0.2">
      <c r="A39" s="50">
        <v>1980</v>
      </c>
      <c r="B39" s="3">
        <v>1.4999999999999999E-2</v>
      </c>
      <c r="C39" s="3">
        <v>0.05</v>
      </c>
      <c r="D39" s="3">
        <v>0.126</v>
      </c>
      <c r="E39" s="3">
        <v>0.17599999999999999</v>
      </c>
      <c r="F39" s="3">
        <v>0.21099999999999999</v>
      </c>
      <c r="G39" s="3">
        <v>0.24299999999999999</v>
      </c>
      <c r="H39" s="3">
        <v>0.251</v>
      </c>
      <c r="I39" s="3">
        <v>0.26700000000000002</v>
      </c>
      <c r="J39" s="3">
        <v>0.27100000000000002</v>
      </c>
      <c r="K39">
        <v>0.27100000000000002</v>
      </c>
      <c r="L39" s="27"/>
    </row>
    <row r="40" spans="1:12" x14ac:dyDescent="0.2">
      <c r="A40" s="50">
        <v>1981</v>
      </c>
      <c r="B40" s="3">
        <v>7.0000000000000001E-3</v>
      </c>
      <c r="C40" s="3">
        <v>4.9000000000000002E-2</v>
      </c>
      <c r="D40" s="3">
        <v>0.11799999999999999</v>
      </c>
      <c r="E40" s="3">
        <v>0.14199999999999999</v>
      </c>
      <c r="F40" s="3">
        <v>0.189</v>
      </c>
      <c r="G40" s="3">
        <v>0.21099999999999999</v>
      </c>
      <c r="H40" s="3">
        <v>0.222</v>
      </c>
      <c r="I40" s="3">
        <v>0.26700000000000002</v>
      </c>
      <c r="J40" s="3">
        <v>0.27100000000000002</v>
      </c>
      <c r="K40">
        <v>0.27100000000000002</v>
      </c>
      <c r="L40" s="27"/>
    </row>
    <row r="41" spans="1:12" x14ac:dyDescent="0.2">
      <c r="A41" s="50">
        <v>1982</v>
      </c>
      <c r="B41" s="31">
        <v>0.01</v>
      </c>
      <c r="C41" s="31">
        <v>5.8999999999999997E-2</v>
      </c>
      <c r="D41" s="31">
        <v>0.11799999999999999</v>
      </c>
      <c r="E41" s="31">
        <v>0.14899999999999999</v>
      </c>
      <c r="F41" s="31">
        <v>0.17899999999999999</v>
      </c>
      <c r="G41" s="31">
        <v>0.217</v>
      </c>
      <c r="H41" s="31">
        <v>0.23799999999999999</v>
      </c>
      <c r="I41" s="31">
        <v>0.26500000000000001</v>
      </c>
      <c r="J41" s="31">
        <v>0.27400000000000002</v>
      </c>
      <c r="K41">
        <v>0.27500000000000002</v>
      </c>
      <c r="L41" s="27"/>
    </row>
    <row r="42" spans="1:12" x14ac:dyDescent="0.2">
      <c r="A42" s="50">
        <v>1983</v>
      </c>
      <c r="B42" s="27">
        <v>0.01</v>
      </c>
      <c r="C42" s="27">
        <v>5.8999999999999997E-2</v>
      </c>
      <c r="D42" s="27">
        <v>0.11799999999999999</v>
      </c>
      <c r="E42" s="27">
        <v>0.14899999999999999</v>
      </c>
      <c r="F42" s="27">
        <v>0.17899999999999999</v>
      </c>
      <c r="G42" s="27">
        <v>0.217</v>
      </c>
      <c r="H42" s="27">
        <v>0.23799999999999999</v>
      </c>
      <c r="I42" s="27">
        <v>0.26500000000000001</v>
      </c>
      <c r="J42" s="27">
        <v>0.27400000000000002</v>
      </c>
      <c r="K42">
        <v>0.27500000000000002</v>
      </c>
      <c r="L42" s="27"/>
    </row>
    <row r="43" spans="1:12" x14ac:dyDescent="0.2">
      <c r="A43" s="50">
        <v>1984</v>
      </c>
      <c r="B43" s="27">
        <v>0.01</v>
      </c>
      <c r="C43" s="27">
        <v>5.8999999999999997E-2</v>
      </c>
      <c r="D43" s="27">
        <v>0.11799999999999999</v>
      </c>
      <c r="E43" s="27">
        <v>0.14899999999999999</v>
      </c>
      <c r="F43" s="27">
        <v>0.17899999999999999</v>
      </c>
      <c r="G43" s="27">
        <v>0.217</v>
      </c>
      <c r="H43" s="27">
        <v>0.23799999999999999</v>
      </c>
      <c r="I43" s="27">
        <v>0.26500000000000001</v>
      </c>
      <c r="J43" s="27">
        <v>0.27400000000000002</v>
      </c>
      <c r="K43">
        <v>0.27500000000000002</v>
      </c>
      <c r="L43" s="27"/>
    </row>
    <row r="44" spans="1:12" x14ac:dyDescent="0.2">
      <c r="A44" s="50">
        <v>1985</v>
      </c>
      <c r="B44" s="27">
        <v>8.9999999999999993E-3</v>
      </c>
      <c r="C44" s="27">
        <v>3.5999999999999997E-2</v>
      </c>
      <c r="D44" s="27">
        <v>0.128</v>
      </c>
      <c r="E44" s="27">
        <v>0.16400000000000001</v>
      </c>
      <c r="F44" s="27">
        <v>0.19400000000000001</v>
      </c>
      <c r="G44" s="27">
        <v>0.21099999999999999</v>
      </c>
      <c r="H44" s="27">
        <v>0.22</v>
      </c>
      <c r="I44" s="27">
        <v>0.25800000000000001</v>
      </c>
      <c r="J44" s="27">
        <v>0.27</v>
      </c>
      <c r="K44">
        <v>0.29199999999999998</v>
      </c>
      <c r="L44" s="27"/>
    </row>
    <row r="45" spans="1:12" x14ac:dyDescent="0.2">
      <c r="A45" s="50">
        <v>1986</v>
      </c>
      <c r="B45" s="27">
        <v>6.0000000000000001E-3</v>
      </c>
      <c r="C45" s="27">
        <v>6.7000000000000004E-2</v>
      </c>
      <c r="D45" s="27">
        <v>0.121</v>
      </c>
      <c r="E45" s="27">
        <v>0.153</v>
      </c>
      <c r="F45" s="27">
        <v>0.182</v>
      </c>
      <c r="G45" s="27">
        <v>0.20799999999999999</v>
      </c>
      <c r="H45" s="27">
        <v>0.221</v>
      </c>
      <c r="I45" s="27">
        <v>0.23799999999999999</v>
      </c>
      <c r="J45" s="27">
        <v>0.252</v>
      </c>
      <c r="K45">
        <v>0.26200000000000001</v>
      </c>
      <c r="L45" s="27"/>
    </row>
    <row r="46" spans="1:12" x14ac:dyDescent="0.2">
      <c r="A46" s="50">
        <v>1987</v>
      </c>
      <c r="B46" s="27">
        <v>1.0999999999999999E-2</v>
      </c>
      <c r="C46" s="27">
        <v>3.5000000000000003E-2</v>
      </c>
      <c r="D46" s="27">
        <v>9.9000000000000005E-2</v>
      </c>
      <c r="E46" s="27">
        <v>0.15</v>
      </c>
      <c r="F46" s="27">
        <v>0.18</v>
      </c>
      <c r="G46" s="27">
        <v>0.21099999999999999</v>
      </c>
      <c r="H46" s="27">
        <v>0.23400000000000001</v>
      </c>
      <c r="I46" s="27">
        <v>0.25800000000000001</v>
      </c>
      <c r="J46" s="27">
        <v>0.27700000000000002</v>
      </c>
      <c r="K46">
        <v>0.29899999999999999</v>
      </c>
      <c r="L46" s="27"/>
    </row>
    <row r="47" spans="1:12" x14ac:dyDescent="0.2">
      <c r="A47" s="50">
        <v>1988</v>
      </c>
      <c r="B47" s="27">
        <v>1.0999999999999999E-2</v>
      </c>
      <c r="C47" s="27">
        <v>5.5E-2</v>
      </c>
      <c r="D47" s="27">
        <v>0.111</v>
      </c>
      <c r="E47" s="27">
        <v>0.14499999999999999</v>
      </c>
      <c r="F47" s="27">
        <v>0.17399999999999999</v>
      </c>
      <c r="G47" s="27">
        <v>0.19700000000000001</v>
      </c>
      <c r="H47" s="27">
        <v>0.216</v>
      </c>
      <c r="I47" s="27">
        <v>0.23699999999999999</v>
      </c>
      <c r="J47" s="27">
        <v>0.253</v>
      </c>
      <c r="K47">
        <v>0.26300000000000001</v>
      </c>
      <c r="L47" s="27"/>
    </row>
    <row r="48" spans="1:12" x14ac:dyDescent="0.2">
      <c r="A48" s="50">
        <v>1989</v>
      </c>
      <c r="B48" s="27">
        <v>1.7000000000000001E-2</v>
      </c>
      <c r="C48" s="27">
        <v>4.2999999999999997E-2</v>
      </c>
      <c r="D48" s="27">
        <v>0.115</v>
      </c>
      <c r="E48" s="27">
        <v>0.153</v>
      </c>
      <c r="F48" s="27">
        <v>0.17299999999999999</v>
      </c>
      <c r="G48" s="27">
        <v>0.20799999999999999</v>
      </c>
      <c r="H48" s="27">
        <v>0.23100000000000001</v>
      </c>
      <c r="I48" s="27">
        <v>0.247</v>
      </c>
      <c r="J48" s="27">
        <v>0.26500000000000001</v>
      </c>
      <c r="K48">
        <v>0.25900000000000001</v>
      </c>
      <c r="L48" s="27"/>
    </row>
    <row r="49" spans="1:12" x14ac:dyDescent="0.2">
      <c r="A49" s="50">
        <v>1990</v>
      </c>
      <c r="B49" s="27">
        <v>1.9E-2</v>
      </c>
      <c r="C49" s="27">
        <v>5.5E-2</v>
      </c>
      <c r="D49" s="27">
        <v>0.114</v>
      </c>
      <c r="E49" s="27">
        <v>0.14899999999999999</v>
      </c>
      <c r="F49" s="27">
        <v>0.17699999999999999</v>
      </c>
      <c r="G49" s="27">
        <v>0.193</v>
      </c>
      <c r="H49" s="27">
        <v>0.22900000000000001</v>
      </c>
      <c r="I49" s="27">
        <v>0.23599999999999999</v>
      </c>
      <c r="J49" s="27">
        <v>0.25</v>
      </c>
      <c r="K49">
        <v>0.28699999999999998</v>
      </c>
      <c r="L49" s="27"/>
    </row>
    <row r="50" spans="1:12" x14ac:dyDescent="0.2">
      <c r="A50" s="50">
        <v>1991</v>
      </c>
      <c r="B50" s="3">
        <v>1.7000000000000001E-2</v>
      </c>
      <c r="C50" s="3">
        <v>5.8000000000000003E-2</v>
      </c>
      <c r="D50" s="3">
        <v>0.13</v>
      </c>
      <c r="E50" s="3">
        <v>0.16600000000000001</v>
      </c>
      <c r="F50" s="3">
        <v>0.184</v>
      </c>
      <c r="G50" s="3">
        <v>0.20300000000000001</v>
      </c>
      <c r="H50" s="3">
        <v>0.217</v>
      </c>
      <c r="I50" s="3">
        <v>0.23499999999999999</v>
      </c>
      <c r="J50" s="3">
        <v>0.25900000000000001</v>
      </c>
      <c r="K50">
        <v>0.27100000000000002</v>
      </c>
    </row>
    <row r="51" spans="1:12" x14ac:dyDescent="0.2">
      <c r="A51" s="50">
        <v>1992</v>
      </c>
      <c r="B51">
        <v>0.01</v>
      </c>
      <c r="C51">
        <v>5.2999999999999999E-2</v>
      </c>
      <c r="D51">
        <v>0.10199999999999999</v>
      </c>
      <c r="E51">
        <v>0.17499999999999999</v>
      </c>
      <c r="F51">
        <v>0.189</v>
      </c>
      <c r="G51">
        <v>0.20699999999999999</v>
      </c>
      <c r="H51">
        <v>0.223</v>
      </c>
      <c r="I51">
        <v>0.23699999999999999</v>
      </c>
      <c r="J51">
        <v>0.249</v>
      </c>
      <c r="K51">
        <v>0.28699999999999998</v>
      </c>
    </row>
    <row r="52" spans="1:12" x14ac:dyDescent="0.2">
      <c r="A52" s="50">
        <v>1993</v>
      </c>
      <c r="B52">
        <v>0.01</v>
      </c>
      <c r="C52">
        <v>3.3000000000000002E-2</v>
      </c>
      <c r="D52">
        <v>0.115</v>
      </c>
      <c r="E52">
        <v>0.14499999999999999</v>
      </c>
      <c r="F52">
        <v>0.189</v>
      </c>
      <c r="G52">
        <v>0.20399999999999999</v>
      </c>
      <c r="H52">
        <v>0.22800000000000001</v>
      </c>
      <c r="I52">
        <v>0.24399999999999999</v>
      </c>
      <c r="J52">
        <v>0.25600000000000001</v>
      </c>
      <c r="K52">
        <v>0.31</v>
      </c>
    </row>
    <row r="53" spans="1:12" x14ac:dyDescent="0.2">
      <c r="A53" s="50">
        <v>1994</v>
      </c>
      <c r="B53">
        <v>6.0000000000000001E-3</v>
      </c>
      <c r="C53">
        <v>5.6000000000000001E-2</v>
      </c>
      <c r="D53">
        <v>0.13</v>
      </c>
      <c r="E53">
        <v>0.159</v>
      </c>
      <c r="F53">
        <v>0.18099999999999999</v>
      </c>
      <c r="G53">
        <v>0.214</v>
      </c>
      <c r="H53">
        <v>0.24</v>
      </c>
      <c r="I53">
        <v>0.255</v>
      </c>
      <c r="J53">
        <v>0.27300000000000002</v>
      </c>
      <c r="K53">
        <v>0.28100000000000003</v>
      </c>
    </row>
    <row r="54" spans="1:12" x14ac:dyDescent="0.2">
      <c r="A54" s="50">
        <v>1995</v>
      </c>
      <c r="B54">
        <v>8.9999999999999993E-3</v>
      </c>
      <c r="C54">
        <v>4.2000000000000003E-2</v>
      </c>
      <c r="D54">
        <v>0.13</v>
      </c>
      <c r="E54">
        <v>0.16900000000000001</v>
      </c>
      <c r="F54">
        <v>0.19800000000000001</v>
      </c>
      <c r="G54">
        <v>0.20699999999999999</v>
      </c>
      <c r="H54">
        <v>0.24299999999999999</v>
      </c>
      <c r="I54">
        <v>0.247</v>
      </c>
      <c r="J54">
        <v>0.28299999999999997</v>
      </c>
      <c r="K54">
        <v>0.27600000000000002</v>
      </c>
    </row>
    <row r="55" spans="1:12" x14ac:dyDescent="0.2">
      <c r="A55" s="50">
        <v>1996</v>
      </c>
      <c r="B55">
        <v>1.4999999999999999E-2</v>
      </c>
      <c r="C55">
        <v>1.7999999999999999E-2</v>
      </c>
      <c r="D55">
        <v>0.112</v>
      </c>
      <c r="E55">
        <v>0.156</v>
      </c>
      <c r="F55">
        <v>0.188</v>
      </c>
      <c r="G55">
        <v>0.20399999999999999</v>
      </c>
      <c r="H55">
        <v>0.21199999999999999</v>
      </c>
      <c r="I55">
        <v>0.26100000000000001</v>
      </c>
      <c r="J55">
        <v>0.28000000000000003</v>
      </c>
      <c r="K55">
        <v>0.28799999999999998</v>
      </c>
    </row>
    <row r="56" spans="1:12" x14ac:dyDescent="0.2">
      <c r="A56" s="50">
        <v>1997</v>
      </c>
      <c r="B56">
        <v>1.4999999999999999E-2</v>
      </c>
      <c r="C56">
        <v>4.3999999999999997E-2</v>
      </c>
      <c r="D56">
        <v>0.108</v>
      </c>
      <c r="E56">
        <v>0.14799999999999999</v>
      </c>
      <c r="F56">
        <v>0.19500000000000001</v>
      </c>
      <c r="G56">
        <v>0.22700000000000001</v>
      </c>
      <c r="H56">
        <v>0.22600000000000001</v>
      </c>
      <c r="I56">
        <v>0.23499999999999999</v>
      </c>
      <c r="J56">
        <v>0.24399999999999999</v>
      </c>
      <c r="K56">
        <v>0.29099999999999998</v>
      </c>
    </row>
    <row r="57" spans="1:12" x14ac:dyDescent="0.2">
      <c r="A57" s="50">
        <v>1998</v>
      </c>
      <c r="B57">
        <v>2.1000000000000001E-2</v>
      </c>
      <c r="C57">
        <v>5.0999999999999997E-2</v>
      </c>
      <c r="D57">
        <v>0.114</v>
      </c>
      <c r="E57">
        <v>0.14499999999999999</v>
      </c>
      <c r="F57">
        <v>0.183</v>
      </c>
      <c r="G57">
        <v>0.219</v>
      </c>
      <c r="H57">
        <v>0.23799999999999999</v>
      </c>
      <c r="I57">
        <v>0.247</v>
      </c>
      <c r="J57">
        <v>0.28899999999999998</v>
      </c>
      <c r="K57">
        <v>0.28299999999999997</v>
      </c>
    </row>
    <row r="58" spans="1:12" x14ac:dyDescent="0.2">
      <c r="A58" s="50">
        <v>1999</v>
      </c>
      <c r="B58">
        <v>8.9999999999999993E-3</v>
      </c>
      <c r="C58">
        <v>4.4999999999999998E-2</v>
      </c>
      <c r="D58">
        <v>0.115</v>
      </c>
      <c r="E58">
        <v>0.151</v>
      </c>
      <c r="F58">
        <v>0.17100000000000001</v>
      </c>
      <c r="G58">
        <v>0.20699999999999999</v>
      </c>
      <c r="H58">
        <v>0.23300000000000001</v>
      </c>
      <c r="I58">
        <v>0.245</v>
      </c>
      <c r="J58">
        <v>0.26100000000000001</v>
      </c>
      <c r="K58">
        <v>0.30099999999999999</v>
      </c>
    </row>
    <row r="59" spans="1:12" x14ac:dyDescent="0.2">
      <c r="A59" s="50">
        <v>2000</v>
      </c>
      <c r="B59">
        <v>1.4999999999999999E-2</v>
      </c>
      <c r="C59">
        <v>3.3000000000000002E-2</v>
      </c>
      <c r="D59">
        <v>0.113</v>
      </c>
      <c r="E59">
        <v>0.157</v>
      </c>
      <c r="F59">
        <v>0.17899999999999999</v>
      </c>
      <c r="G59">
        <v>0.20100000000000001</v>
      </c>
      <c r="H59">
        <v>0.216</v>
      </c>
      <c r="I59">
        <v>0.246</v>
      </c>
      <c r="J59">
        <v>0.27500000000000002</v>
      </c>
      <c r="K59">
        <v>0.26200000000000001</v>
      </c>
    </row>
    <row r="60" spans="1:12" x14ac:dyDescent="0.2">
      <c r="A60" s="50">
        <v>2001</v>
      </c>
      <c r="B60">
        <v>1.2E-2</v>
      </c>
      <c r="C60">
        <v>4.8000000000000001E-2</v>
      </c>
      <c r="D60">
        <v>0.11799999999999999</v>
      </c>
      <c r="E60">
        <v>0.14899999999999999</v>
      </c>
      <c r="F60">
        <v>0.17699999999999999</v>
      </c>
      <c r="G60">
        <v>0.19800000000000001</v>
      </c>
      <c r="H60">
        <v>0.21299999999999999</v>
      </c>
      <c r="I60">
        <v>0.23799999999999999</v>
      </c>
      <c r="J60">
        <v>0.26700000000000002</v>
      </c>
      <c r="K60">
        <v>0.28799999999999998</v>
      </c>
    </row>
    <row r="61" spans="1:12" x14ac:dyDescent="0.2">
      <c r="A61" s="50">
        <v>2002</v>
      </c>
      <c r="B61">
        <v>1.2E-2</v>
      </c>
      <c r="C61">
        <v>3.6999999999999998E-2</v>
      </c>
      <c r="D61">
        <v>0.11799999999999999</v>
      </c>
      <c r="E61">
        <v>0.153</v>
      </c>
      <c r="F61">
        <v>0.17</v>
      </c>
      <c r="G61">
        <v>0.19900000000000001</v>
      </c>
      <c r="H61">
        <v>0.214</v>
      </c>
      <c r="I61">
        <v>0.22800000000000001</v>
      </c>
      <c r="J61">
        <v>0.25</v>
      </c>
      <c r="K61">
        <v>0.252</v>
      </c>
    </row>
    <row r="62" spans="1:12" x14ac:dyDescent="0.2">
      <c r="A62" s="50">
        <v>2003</v>
      </c>
      <c r="B62">
        <v>1.4E-2</v>
      </c>
      <c r="C62">
        <v>3.6999999999999998E-2</v>
      </c>
      <c r="D62">
        <v>0.104</v>
      </c>
      <c r="E62">
        <v>0.158</v>
      </c>
      <c r="F62">
        <v>0.17399999999999999</v>
      </c>
      <c r="G62">
        <v>0.184</v>
      </c>
      <c r="H62">
        <v>0.20499999999999999</v>
      </c>
      <c r="I62">
        <v>0.222</v>
      </c>
      <c r="J62">
        <v>0.23200000000000001</v>
      </c>
      <c r="K62">
        <v>0.25600000000000001</v>
      </c>
    </row>
    <row r="63" spans="1:12" x14ac:dyDescent="0.2">
      <c r="A63" s="50">
        <v>2004</v>
      </c>
      <c r="B63">
        <v>1.4E-2</v>
      </c>
      <c r="C63">
        <v>3.5999999999999997E-2</v>
      </c>
      <c r="D63">
        <v>0.1</v>
      </c>
      <c r="E63">
        <v>0.13800000000000001</v>
      </c>
      <c r="F63">
        <v>0.183</v>
      </c>
      <c r="G63">
        <v>0.20100000000000001</v>
      </c>
      <c r="H63">
        <v>0.216</v>
      </c>
      <c r="I63">
        <v>0.22800000000000001</v>
      </c>
      <c r="J63">
        <v>0.246</v>
      </c>
      <c r="K63">
        <v>0.27200000000000002</v>
      </c>
    </row>
    <row r="64" spans="1:12" x14ac:dyDescent="0.2">
      <c r="A64" s="50">
        <v>2005</v>
      </c>
      <c r="B64">
        <v>1.0999999999999999E-2</v>
      </c>
      <c r="C64">
        <v>4.3999999999999997E-2</v>
      </c>
      <c r="D64">
        <v>9.9000000000000005E-2</v>
      </c>
      <c r="E64">
        <v>0.153</v>
      </c>
      <c r="F64">
        <v>0.16600000000000001</v>
      </c>
      <c r="G64">
        <v>0.20799999999999999</v>
      </c>
      <c r="H64">
        <v>0.223</v>
      </c>
      <c r="I64">
        <v>0.24</v>
      </c>
      <c r="J64">
        <v>0.25700000000000001</v>
      </c>
      <c r="K64">
        <v>0.27800000000000002</v>
      </c>
    </row>
    <row r="65" spans="1:11" x14ac:dyDescent="0.2">
      <c r="A65" s="50">
        <v>2006</v>
      </c>
      <c r="B65">
        <v>0.01</v>
      </c>
      <c r="C65">
        <v>4.9000000000000002E-2</v>
      </c>
      <c r="D65">
        <v>0.11700000000000001</v>
      </c>
      <c r="E65">
        <v>0.14399999999999999</v>
      </c>
      <c r="F65">
        <v>0.17199999999999999</v>
      </c>
      <c r="G65">
        <v>0.18099999999999999</v>
      </c>
      <c r="H65">
        <v>0.22</v>
      </c>
      <c r="I65">
        <v>0.23699999999999999</v>
      </c>
      <c r="J65">
        <v>0.23499999999999999</v>
      </c>
      <c r="K65">
        <v>0.26200000000000001</v>
      </c>
    </row>
    <row r="66" spans="1:11" x14ac:dyDescent="0.2">
      <c r="A66" s="50">
        <v>2007</v>
      </c>
      <c r="B66">
        <v>1.24E-2</v>
      </c>
      <c r="C66">
        <v>6.3799999999999996E-2</v>
      </c>
      <c r="D66">
        <v>0.12139999999999999</v>
      </c>
      <c r="E66">
        <v>0.15129999999999999</v>
      </c>
      <c r="F66">
        <v>0.16339999999999999</v>
      </c>
      <c r="G66">
        <v>0.1933</v>
      </c>
      <c r="H66">
        <v>0.19</v>
      </c>
      <c r="I66">
        <v>0.22320000000000001</v>
      </c>
      <c r="J66">
        <v>0.2349</v>
      </c>
      <c r="K66">
        <v>0.25230000000000002</v>
      </c>
    </row>
    <row r="67" spans="1:11" x14ac:dyDescent="0.2">
      <c r="A67" s="50">
        <v>2008</v>
      </c>
      <c r="B67">
        <v>7.9000000000000008E-3</v>
      </c>
      <c r="C67">
        <v>5.3499999999999999E-2</v>
      </c>
      <c r="D67">
        <v>0.1288</v>
      </c>
      <c r="E67">
        <v>0.17960000000000001</v>
      </c>
      <c r="F67">
        <v>0.1812</v>
      </c>
      <c r="G67">
        <v>0.1832</v>
      </c>
      <c r="H67">
        <v>0.2157</v>
      </c>
      <c r="I67">
        <v>0.21609999999999999</v>
      </c>
      <c r="J67">
        <v>0.25600000000000001</v>
      </c>
      <c r="K67">
        <v>0.27260000000000001</v>
      </c>
    </row>
    <row r="68" spans="1:11" x14ac:dyDescent="0.2">
      <c r="A68" s="50">
        <v>2009</v>
      </c>
      <c r="B68">
        <v>9.4000000000000004E-3</v>
      </c>
      <c r="C68">
        <v>5.1400000000000001E-2</v>
      </c>
      <c r="D68">
        <v>0.14399999999999999</v>
      </c>
      <c r="E68">
        <v>0.18110000000000001</v>
      </c>
      <c r="F68">
        <v>0.21579999999999999</v>
      </c>
      <c r="G68">
        <v>0.2162</v>
      </c>
      <c r="H68">
        <v>0.23899999999999999</v>
      </c>
      <c r="I68">
        <v>0.24279999999999999</v>
      </c>
      <c r="J68">
        <v>0.24759999999999999</v>
      </c>
      <c r="K68">
        <v>0.27239999999999998</v>
      </c>
    </row>
    <row r="69" spans="1:11" x14ac:dyDescent="0.2">
      <c r="A69" s="50">
        <v>2010</v>
      </c>
      <c r="B69">
        <v>7.4999999999999997E-3</v>
      </c>
      <c r="C69">
        <v>5.7099999999999998E-2</v>
      </c>
      <c r="D69">
        <v>0.12920000000000001</v>
      </c>
      <c r="E69">
        <v>0.16689999999999999</v>
      </c>
      <c r="F69">
        <v>0.19120000000000001</v>
      </c>
      <c r="G69">
        <v>0.2203</v>
      </c>
      <c r="H69">
        <v>0.21929999999999999</v>
      </c>
      <c r="I69">
        <v>0.216</v>
      </c>
      <c r="J69">
        <v>0.2334</v>
      </c>
      <c r="K69">
        <v>0.24379999999999999</v>
      </c>
    </row>
    <row r="70" spans="1:11" x14ac:dyDescent="0.2">
      <c r="A70" s="50">
        <v>2011</v>
      </c>
      <c r="B70">
        <v>8.0000000000000002E-3</v>
      </c>
      <c r="C70">
        <v>4.1300000000000003E-2</v>
      </c>
      <c r="D70">
        <v>0.13170000000000001</v>
      </c>
      <c r="E70">
        <v>0.1593</v>
      </c>
      <c r="F70">
        <v>0.18310000000000001</v>
      </c>
      <c r="G70">
        <v>0.19700000000000001</v>
      </c>
      <c r="H70">
        <v>0.2167</v>
      </c>
      <c r="I70">
        <v>0.22109999999999999</v>
      </c>
      <c r="J70">
        <v>0.22339999999999999</v>
      </c>
      <c r="K70">
        <v>0.2397</v>
      </c>
    </row>
    <row r="71" spans="1:11" x14ac:dyDescent="0.2">
      <c r="A71" s="50">
        <v>2012</v>
      </c>
      <c r="B71">
        <v>1.06E-2</v>
      </c>
      <c r="C71">
        <v>4.6300000000000001E-2</v>
      </c>
      <c r="D71">
        <v>0.12429999999999999</v>
      </c>
      <c r="E71">
        <v>0.1706</v>
      </c>
      <c r="F71">
        <v>0.18540000000000001</v>
      </c>
      <c r="G71">
        <v>0.20580000000000001</v>
      </c>
      <c r="H71">
        <v>0.2215</v>
      </c>
      <c r="I71">
        <v>0.2387</v>
      </c>
      <c r="J71">
        <v>0.2392</v>
      </c>
      <c r="K71">
        <v>0.2455</v>
      </c>
    </row>
    <row r="72" spans="1:11" x14ac:dyDescent="0.2">
      <c r="A72" s="50">
        <v>2013</v>
      </c>
      <c r="B72">
        <v>7.7000000000000002E-3</v>
      </c>
      <c r="C72">
        <v>4.6800000000000001E-2</v>
      </c>
      <c r="D72">
        <v>0.1162</v>
      </c>
      <c r="E72">
        <v>0.15629999999999999</v>
      </c>
      <c r="F72">
        <v>0.19769999999999999</v>
      </c>
      <c r="G72">
        <v>0.19800000000000001</v>
      </c>
      <c r="H72">
        <v>0.21540000000000001</v>
      </c>
      <c r="I72">
        <v>0.2334</v>
      </c>
      <c r="J72">
        <v>0.2341</v>
      </c>
      <c r="K72">
        <v>0.2414</v>
      </c>
    </row>
    <row r="73" spans="1:11" x14ac:dyDescent="0.2">
      <c r="A73" s="50">
        <v>2014</v>
      </c>
      <c r="B73">
        <v>7.4999999999999997E-3</v>
      </c>
      <c r="C73">
        <v>5.2200000000000003E-2</v>
      </c>
      <c r="D73">
        <v>0.124</v>
      </c>
      <c r="E73">
        <v>0.1719</v>
      </c>
      <c r="F73">
        <v>0.18609999999999999</v>
      </c>
      <c r="G73">
        <v>0.21479999999999999</v>
      </c>
      <c r="H73">
        <v>0.21179999999999999</v>
      </c>
      <c r="I73">
        <v>0.22639999999999999</v>
      </c>
      <c r="J73">
        <v>0.2442</v>
      </c>
      <c r="K73">
        <v>0.24149999999999999</v>
      </c>
    </row>
    <row r="74" spans="1:11" x14ac:dyDescent="0.2">
      <c r="A74" s="50">
        <v>2015</v>
      </c>
      <c r="B74" s="54">
        <v>7.4999999999999997E-3</v>
      </c>
      <c r="C74" s="54">
        <v>5.2200000000000003E-2</v>
      </c>
      <c r="D74" s="54">
        <v>0.124</v>
      </c>
      <c r="E74" s="54">
        <v>0.1719</v>
      </c>
      <c r="F74" s="54">
        <v>0.18609999999999999</v>
      </c>
      <c r="G74" s="54">
        <v>0.21479999999999999</v>
      </c>
      <c r="H74" s="54">
        <v>0.21179999999999999</v>
      </c>
      <c r="I74" s="54">
        <v>0.22639999999999999</v>
      </c>
      <c r="J74" s="54">
        <v>0.2442</v>
      </c>
      <c r="K74" s="54">
        <v>0.24149999999999999</v>
      </c>
    </row>
  </sheetData>
  <phoneticPr fontId="0" type="noConversion"/>
  <pageMargins left="0.75" right="0.75" top="1" bottom="1" header="0.5" footer="0.5"/>
  <pageSetup paperSize="9" scale="85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L74"/>
  <sheetViews>
    <sheetView zoomScaleNormal="100" workbookViewId="0"/>
  </sheetViews>
  <sheetFormatPr defaultColWidth="8.85546875" defaultRowHeight="12.75" x14ac:dyDescent="0.2"/>
  <cols>
    <col min="1" max="1" width="8.85546875" style="49"/>
    <col min="2" max="5" width="8.85546875" customWidth="1"/>
    <col min="6" max="6" width="10.140625" customWidth="1"/>
  </cols>
  <sheetData>
    <row r="1" spans="1:12" x14ac:dyDescent="0.2">
      <c r="B1" t="s">
        <v>9</v>
      </c>
      <c r="F1" s="15">
        <f ca="1">NOW()</f>
        <v>42452.710744560187</v>
      </c>
      <c r="G1" s="16">
        <f ca="1">NOW()</f>
        <v>42452.710744560187</v>
      </c>
    </row>
    <row r="2" spans="1:12" x14ac:dyDescent="0.2">
      <c r="B2">
        <v>1</v>
      </c>
      <c r="C2">
        <v>4</v>
      </c>
    </row>
    <row r="3" spans="1:12" x14ac:dyDescent="0.2">
      <c r="B3" s="7">
        <f>caton!$B$3</f>
        <v>1947</v>
      </c>
      <c r="C3" s="11">
        <f>B3+COUNT(B6:B99)-1</f>
        <v>2015</v>
      </c>
    </row>
    <row r="4" spans="1:12" x14ac:dyDescent="0.2">
      <c r="B4">
        <v>0</v>
      </c>
      <c r="C4" s="30">
        <f>B4+COUNT(B20:AA20)-1</f>
        <v>9</v>
      </c>
    </row>
    <row r="5" spans="1:12" x14ac:dyDescent="0.2">
      <c r="B5">
        <v>1</v>
      </c>
    </row>
    <row r="6" spans="1:12" x14ac:dyDescent="0.2">
      <c r="A6" s="50">
        <v>1947</v>
      </c>
      <c r="B6">
        <v>1.4999999999999999E-2</v>
      </c>
      <c r="C6" s="3">
        <v>0.05</v>
      </c>
      <c r="D6" s="3">
        <v>0.122</v>
      </c>
      <c r="E6" s="3">
        <v>0.14000000000000001</v>
      </c>
      <c r="F6" s="3">
        <v>0.156</v>
      </c>
      <c r="G6" s="3">
        <v>0.17100000000000001</v>
      </c>
      <c r="H6" s="3">
        <v>0.185</v>
      </c>
      <c r="I6" s="3">
        <v>0.19700000000000001</v>
      </c>
      <c r="J6" s="3">
        <v>0.21299999999999999</v>
      </c>
      <c r="K6" s="40" t="s">
        <v>33</v>
      </c>
      <c r="L6" s="34" t="s">
        <v>20</v>
      </c>
    </row>
    <row r="7" spans="1:12" x14ac:dyDescent="0.2">
      <c r="A7" s="50">
        <v>1948</v>
      </c>
      <c r="B7">
        <v>1.4999999999999999E-2</v>
      </c>
      <c r="C7" s="3">
        <v>0.05</v>
      </c>
      <c r="D7" s="3">
        <v>0.122</v>
      </c>
      <c r="E7" s="3">
        <v>0.14000000000000001</v>
      </c>
      <c r="F7" s="3">
        <v>0.156</v>
      </c>
      <c r="G7" s="3">
        <v>0.17100000000000001</v>
      </c>
      <c r="H7" s="3">
        <v>0.185</v>
      </c>
      <c r="I7" s="3">
        <v>0.19700000000000001</v>
      </c>
      <c r="J7" s="3">
        <v>0.21299999999999999</v>
      </c>
      <c r="K7" s="40" t="s">
        <v>33</v>
      </c>
      <c r="L7" s="34" t="s">
        <v>21</v>
      </c>
    </row>
    <row r="8" spans="1:12" x14ac:dyDescent="0.2">
      <c r="A8" s="50">
        <v>1949</v>
      </c>
      <c r="B8">
        <v>1.4999999999999999E-2</v>
      </c>
      <c r="C8" s="3">
        <v>0.05</v>
      </c>
      <c r="D8" s="3">
        <v>0.128</v>
      </c>
      <c r="E8" s="3">
        <v>0.14499999999999999</v>
      </c>
      <c r="F8" s="3">
        <v>0.161</v>
      </c>
      <c r="G8" s="3">
        <v>0.17599999999999999</v>
      </c>
      <c r="H8" s="3">
        <v>0.189</v>
      </c>
      <c r="I8" s="3">
        <v>0.20100000000000001</v>
      </c>
      <c r="J8" s="3">
        <v>0.216</v>
      </c>
      <c r="K8" s="40" t="s">
        <v>33</v>
      </c>
      <c r="L8" s="34" t="s">
        <v>22</v>
      </c>
    </row>
    <row r="9" spans="1:12" x14ac:dyDescent="0.2">
      <c r="A9" s="50">
        <v>1950</v>
      </c>
      <c r="B9">
        <v>1.4999999999999999E-2</v>
      </c>
      <c r="C9" s="3">
        <v>0.05</v>
      </c>
      <c r="D9" s="3">
        <v>0.128</v>
      </c>
      <c r="E9" s="3">
        <v>0.151</v>
      </c>
      <c r="F9" s="3">
        <v>0.16600000000000001</v>
      </c>
      <c r="G9" s="3">
        <v>0.18</v>
      </c>
      <c r="H9" s="3">
        <v>0.193</v>
      </c>
      <c r="I9" s="3">
        <v>0.20399999999999999</v>
      </c>
      <c r="J9" s="3">
        <v>0.219</v>
      </c>
      <c r="K9" s="40" t="s">
        <v>33</v>
      </c>
      <c r="L9" s="34" t="s">
        <v>23</v>
      </c>
    </row>
    <row r="10" spans="1:12" x14ac:dyDescent="0.2">
      <c r="A10" s="50">
        <v>1951</v>
      </c>
      <c r="B10">
        <v>1.4999999999999999E-2</v>
      </c>
      <c r="C10" s="3">
        <v>0.05</v>
      </c>
      <c r="D10" s="3">
        <v>0.13400000000000001</v>
      </c>
      <c r="E10" s="3">
        <v>0.157</v>
      </c>
      <c r="F10" s="3">
        <v>0.17599999999999999</v>
      </c>
      <c r="G10" s="3">
        <v>0.189</v>
      </c>
      <c r="H10" s="3">
        <v>0.20100000000000001</v>
      </c>
      <c r="I10" s="3">
        <v>0.21099999999999999</v>
      </c>
      <c r="J10" s="3">
        <v>0.224</v>
      </c>
      <c r="K10" s="40" t="s">
        <v>33</v>
      </c>
      <c r="L10" s="34" t="s">
        <v>24</v>
      </c>
    </row>
    <row r="11" spans="1:12" x14ac:dyDescent="0.2">
      <c r="A11" s="50">
        <v>1952</v>
      </c>
      <c r="B11">
        <v>1.4999999999999999E-2</v>
      </c>
      <c r="C11" s="3">
        <v>0.05</v>
      </c>
      <c r="D11" s="3">
        <v>0.13700000000000001</v>
      </c>
      <c r="E11" s="3">
        <v>0.16500000000000001</v>
      </c>
      <c r="F11" s="3">
        <v>0.183</v>
      </c>
      <c r="G11" s="3">
        <v>0.19900000000000001</v>
      </c>
      <c r="H11" s="3">
        <v>0.21</v>
      </c>
      <c r="I11" s="3">
        <v>0.219</v>
      </c>
      <c r="J11" s="3">
        <v>0.23100000000000001</v>
      </c>
      <c r="K11" s="40" t="s">
        <v>33</v>
      </c>
      <c r="L11" s="34" t="s">
        <v>25</v>
      </c>
    </row>
    <row r="12" spans="1:12" x14ac:dyDescent="0.2">
      <c r="A12" s="50">
        <v>1953</v>
      </c>
      <c r="B12">
        <v>1.4999999999999999E-2</v>
      </c>
      <c r="C12" s="3">
        <v>0.05</v>
      </c>
      <c r="D12" s="3">
        <v>0.13700000000000001</v>
      </c>
      <c r="E12" s="3">
        <v>0.16700000000000001</v>
      </c>
      <c r="F12" s="3">
        <v>0.19</v>
      </c>
      <c r="G12" s="3">
        <v>0.20499999999999999</v>
      </c>
      <c r="H12" s="3">
        <v>0.218</v>
      </c>
      <c r="I12" s="3">
        <v>0.22600000000000001</v>
      </c>
      <c r="J12" s="3">
        <v>0.23699999999999999</v>
      </c>
      <c r="K12" s="40" t="s">
        <v>33</v>
      </c>
      <c r="L12" s="34" t="s">
        <v>26</v>
      </c>
    </row>
    <row r="13" spans="1:12" x14ac:dyDescent="0.2">
      <c r="A13" s="50">
        <v>1954</v>
      </c>
      <c r="B13">
        <v>1.4999999999999999E-2</v>
      </c>
      <c r="C13" s="3">
        <v>0.05</v>
      </c>
      <c r="D13" s="3">
        <v>0.13900000000000001</v>
      </c>
      <c r="E13" s="3">
        <v>0.16900000000000001</v>
      </c>
      <c r="F13" s="3">
        <v>0.193</v>
      </c>
      <c r="G13" s="3">
        <v>0.21099999999999999</v>
      </c>
      <c r="H13" s="3">
        <v>0.223</v>
      </c>
      <c r="I13" s="3">
        <v>0.23300000000000001</v>
      </c>
      <c r="J13" s="3">
        <v>0.24199999999999999</v>
      </c>
      <c r="K13" s="40" t="s">
        <v>33</v>
      </c>
      <c r="L13" s="34" t="s">
        <v>27</v>
      </c>
    </row>
    <row r="14" spans="1:12" x14ac:dyDescent="0.2">
      <c r="A14" s="50">
        <v>1955</v>
      </c>
      <c r="B14">
        <v>1.4999999999999999E-2</v>
      </c>
      <c r="C14" s="3">
        <v>0.05</v>
      </c>
      <c r="D14" s="3">
        <v>0.14000000000000001</v>
      </c>
      <c r="E14" s="3">
        <v>0.17</v>
      </c>
      <c r="F14" s="3">
        <v>0.19500000000000001</v>
      </c>
      <c r="G14" s="3">
        <v>0.214</v>
      </c>
      <c r="H14" s="3">
        <v>0.22800000000000001</v>
      </c>
      <c r="I14" s="3">
        <v>0.23799999999999999</v>
      </c>
      <c r="J14" s="3">
        <v>0.248</v>
      </c>
      <c r="K14" s="40" t="s">
        <v>33</v>
      </c>
      <c r="L14" s="34" t="s">
        <v>28</v>
      </c>
    </row>
    <row r="15" spans="1:12" x14ac:dyDescent="0.2">
      <c r="A15" s="50">
        <v>1956</v>
      </c>
      <c r="B15">
        <v>1.4999999999999999E-2</v>
      </c>
      <c r="C15" s="3">
        <v>0.05</v>
      </c>
      <c r="D15" s="3">
        <v>0.14000000000000001</v>
      </c>
      <c r="E15" s="3">
        <v>0.17199999999999999</v>
      </c>
      <c r="F15" s="3">
        <v>0.19700000000000001</v>
      </c>
      <c r="G15" s="3">
        <v>0.216</v>
      </c>
      <c r="H15" s="3">
        <v>0.23100000000000001</v>
      </c>
      <c r="I15" s="3">
        <v>0.24199999999999999</v>
      </c>
      <c r="J15" s="3">
        <v>0.251</v>
      </c>
      <c r="K15" s="40" t="s">
        <v>33</v>
      </c>
      <c r="L15" s="34" t="s">
        <v>29</v>
      </c>
    </row>
    <row r="16" spans="1:12" x14ac:dyDescent="0.2">
      <c r="A16" s="50">
        <v>1957</v>
      </c>
      <c r="B16">
        <v>1.4999999999999999E-2</v>
      </c>
      <c r="C16" s="3">
        <v>0.05</v>
      </c>
      <c r="D16" s="3">
        <v>0.14099999999999999</v>
      </c>
      <c r="E16" s="3">
        <v>0.17299999999999999</v>
      </c>
      <c r="F16" s="3">
        <v>0.19800000000000001</v>
      </c>
      <c r="G16" s="3">
        <v>0.218</v>
      </c>
      <c r="H16" s="3">
        <v>0.23300000000000001</v>
      </c>
      <c r="I16" s="3">
        <v>0.24399999999999999</v>
      </c>
      <c r="J16" s="3">
        <v>0.254</v>
      </c>
      <c r="K16" s="40" t="s">
        <v>33</v>
      </c>
      <c r="L16" s="34" t="s">
        <v>30</v>
      </c>
    </row>
    <row r="17" spans="1:12" x14ac:dyDescent="0.2">
      <c r="A17" s="50">
        <v>1958</v>
      </c>
      <c r="B17">
        <v>1.4999999999999999E-2</v>
      </c>
      <c r="C17" s="3">
        <v>0.05</v>
      </c>
      <c r="D17" s="3">
        <v>0.14099999999999999</v>
      </c>
      <c r="E17" s="3">
        <v>0.17399999999999999</v>
      </c>
      <c r="F17" s="3">
        <v>0.19900000000000001</v>
      </c>
      <c r="G17" s="3">
        <v>0.219</v>
      </c>
      <c r="H17" s="3">
        <v>0.23400000000000001</v>
      </c>
      <c r="I17" s="3">
        <v>0.245</v>
      </c>
      <c r="J17" s="3">
        <v>0.25600000000000001</v>
      </c>
      <c r="K17" s="40" t="s">
        <v>33</v>
      </c>
      <c r="L17" s="34" t="s">
        <v>31</v>
      </c>
    </row>
    <row r="18" spans="1:12" x14ac:dyDescent="0.2">
      <c r="A18" s="50">
        <v>1959</v>
      </c>
      <c r="B18">
        <v>1.4999999999999999E-2</v>
      </c>
      <c r="C18" s="3">
        <v>0.05</v>
      </c>
      <c r="D18" s="3">
        <v>0.14299999999999999</v>
      </c>
      <c r="E18" s="3">
        <v>0.17599999999999999</v>
      </c>
      <c r="F18" s="3">
        <v>0.20100000000000001</v>
      </c>
      <c r="G18" s="3">
        <v>0.221</v>
      </c>
      <c r="H18" s="3">
        <v>0.23599999999999999</v>
      </c>
      <c r="I18" s="3">
        <v>0.247</v>
      </c>
      <c r="J18" s="3">
        <v>0.25800000000000001</v>
      </c>
      <c r="K18" s="40" t="s">
        <v>33</v>
      </c>
      <c r="L18" s="34" t="s">
        <v>32</v>
      </c>
    </row>
    <row r="19" spans="1:12" x14ac:dyDescent="0.2">
      <c r="A19" s="50">
        <v>1960</v>
      </c>
      <c r="B19">
        <v>1.4999999999999999E-2</v>
      </c>
      <c r="C19" s="3">
        <v>0.05</v>
      </c>
      <c r="D19" s="3">
        <v>0.155</v>
      </c>
      <c r="E19" s="3">
        <v>0.187</v>
      </c>
      <c r="F19" s="3">
        <v>0.223</v>
      </c>
      <c r="G19" s="3">
        <v>0.23899999999999999</v>
      </c>
      <c r="H19" s="3">
        <v>0.27600000000000002</v>
      </c>
      <c r="I19" s="3">
        <v>0.29899999999999999</v>
      </c>
      <c r="J19" s="3">
        <v>0.30599999999999999</v>
      </c>
      <c r="K19" s="3">
        <v>0.312</v>
      </c>
    </row>
    <row r="20" spans="1:12" x14ac:dyDescent="0.2">
      <c r="A20" s="50">
        <v>1961</v>
      </c>
      <c r="B20">
        <v>1.4999999999999999E-2</v>
      </c>
      <c r="C20" s="3">
        <v>0.05</v>
      </c>
      <c r="D20" s="3">
        <v>0.155</v>
      </c>
      <c r="E20" s="3">
        <v>0.187</v>
      </c>
      <c r="F20" s="3">
        <v>0.223</v>
      </c>
      <c r="G20" s="3">
        <v>0.23899999999999999</v>
      </c>
      <c r="H20" s="3">
        <v>0.27600000000000002</v>
      </c>
      <c r="I20" s="3">
        <v>0.29899999999999999</v>
      </c>
      <c r="J20" s="3">
        <v>0.30599999999999999</v>
      </c>
      <c r="K20" s="3">
        <v>0.312</v>
      </c>
    </row>
    <row r="21" spans="1:12" x14ac:dyDescent="0.2">
      <c r="A21" s="50">
        <v>1962</v>
      </c>
      <c r="B21">
        <v>1.4999999999999999E-2</v>
      </c>
      <c r="C21" s="3">
        <v>0.05</v>
      </c>
      <c r="D21" s="3">
        <v>0.155</v>
      </c>
      <c r="E21" s="3">
        <v>0.187</v>
      </c>
      <c r="F21" s="3">
        <v>0.223</v>
      </c>
      <c r="G21" s="3">
        <v>0.23899999999999999</v>
      </c>
      <c r="H21" s="3">
        <v>0.27600000000000002</v>
      </c>
      <c r="I21" s="3">
        <v>0.29899999999999999</v>
      </c>
      <c r="J21" s="3">
        <v>0.30599999999999999</v>
      </c>
      <c r="K21" s="3">
        <v>0.312</v>
      </c>
    </row>
    <row r="22" spans="1:12" x14ac:dyDescent="0.2">
      <c r="A22" s="50">
        <v>1963</v>
      </c>
      <c r="B22">
        <v>1.4999999999999999E-2</v>
      </c>
      <c r="C22" s="3">
        <v>0.05</v>
      </c>
      <c r="D22" s="3">
        <v>0.155</v>
      </c>
      <c r="E22" s="3">
        <v>0.187</v>
      </c>
      <c r="F22" s="3">
        <v>0.223</v>
      </c>
      <c r="G22" s="3">
        <v>0.23899999999999999</v>
      </c>
      <c r="H22" s="3">
        <v>0.27600000000000002</v>
      </c>
      <c r="I22" s="3">
        <v>0.29899999999999999</v>
      </c>
      <c r="J22" s="3">
        <v>0.30599999999999999</v>
      </c>
      <c r="K22" s="3">
        <v>0.312</v>
      </c>
    </row>
    <row r="23" spans="1:12" x14ac:dyDescent="0.2">
      <c r="A23" s="50">
        <v>1964</v>
      </c>
      <c r="B23">
        <v>1.4999999999999999E-2</v>
      </c>
      <c r="C23" s="3">
        <v>0.05</v>
      </c>
      <c r="D23" s="3">
        <v>0.155</v>
      </c>
      <c r="E23" s="3">
        <v>0.187</v>
      </c>
      <c r="F23" s="3">
        <v>0.223</v>
      </c>
      <c r="G23" s="3">
        <v>0.23899999999999999</v>
      </c>
      <c r="H23" s="3">
        <v>0.27600000000000002</v>
      </c>
      <c r="I23" s="3">
        <v>0.29899999999999999</v>
      </c>
      <c r="J23" s="3">
        <v>0.30599999999999999</v>
      </c>
      <c r="K23" s="3">
        <v>0.312</v>
      </c>
    </row>
    <row r="24" spans="1:12" x14ac:dyDescent="0.2">
      <c r="A24" s="50">
        <v>1965</v>
      </c>
      <c r="B24">
        <v>1.4999999999999999E-2</v>
      </c>
      <c r="C24" s="3">
        <v>0.05</v>
      </c>
      <c r="D24" s="3">
        <v>0.155</v>
      </c>
      <c r="E24" s="3">
        <v>0.187</v>
      </c>
      <c r="F24" s="3">
        <v>0.223</v>
      </c>
      <c r="G24" s="3">
        <v>0.23899999999999999</v>
      </c>
      <c r="H24" s="3">
        <v>0.27600000000000002</v>
      </c>
      <c r="I24" s="3">
        <v>0.29899999999999999</v>
      </c>
      <c r="J24" s="3">
        <v>0.30599999999999999</v>
      </c>
      <c r="K24" s="3">
        <v>0.312</v>
      </c>
    </row>
    <row r="25" spans="1:12" x14ac:dyDescent="0.2">
      <c r="A25" s="50">
        <v>1966</v>
      </c>
      <c r="B25">
        <v>1.4999999999999999E-2</v>
      </c>
      <c r="C25" s="3">
        <v>0.05</v>
      </c>
      <c r="D25" s="3">
        <v>0.155</v>
      </c>
      <c r="E25" s="3">
        <v>0.187</v>
      </c>
      <c r="F25" s="3">
        <v>0.223</v>
      </c>
      <c r="G25" s="3">
        <v>0.23899999999999999</v>
      </c>
      <c r="H25" s="3">
        <v>0.27600000000000002</v>
      </c>
      <c r="I25" s="3">
        <v>0.29899999999999999</v>
      </c>
      <c r="J25" s="3">
        <v>0.30599999999999999</v>
      </c>
      <c r="K25" s="3">
        <v>0.312</v>
      </c>
    </row>
    <row r="26" spans="1:12" x14ac:dyDescent="0.2">
      <c r="A26" s="50">
        <v>1967</v>
      </c>
      <c r="B26">
        <v>1.4999999999999999E-2</v>
      </c>
      <c r="C26" s="3">
        <v>0.05</v>
      </c>
      <c r="D26" s="3">
        <v>0.155</v>
      </c>
      <c r="E26" s="3">
        <v>0.187</v>
      </c>
      <c r="F26" s="3">
        <v>0.223</v>
      </c>
      <c r="G26" s="3">
        <v>0.23899999999999999</v>
      </c>
      <c r="H26" s="3">
        <v>0.27600000000000002</v>
      </c>
      <c r="I26" s="3">
        <v>0.29899999999999999</v>
      </c>
      <c r="J26" s="3">
        <v>0.30599999999999999</v>
      </c>
      <c r="K26" s="3">
        <v>0.312</v>
      </c>
    </row>
    <row r="27" spans="1:12" x14ac:dyDescent="0.2">
      <c r="A27" s="50">
        <v>1968</v>
      </c>
      <c r="B27">
        <v>1.4999999999999999E-2</v>
      </c>
      <c r="C27" s="3">
        <v>0.05</v>
      </c>
      <c r="D27" s="3">
        <v>0.155</v>
      </c>
      <c r="E27" s="3">
        <v>0.187</v>
      </c>
      <c r="F27" s="3">
        <v>0.223</v>
      </c>
      <c r="G27" s="3">
        <v>0.23899999999999999</v>
      </c>
      <c r="H27" s="3">
        <v>0.27600000000000002</v>
      </c>
      <c r="I27" s="3">
        <v>0.29899999999999999</v>
      </c>
      <c r="J27" s="3">
        <v>0.30599999999999999</v>
      </c>
      <c r="K27" s="3">
        <v>0.312</v>
      </c>
    </row>
    <row r="28" spans="1:12" x14ac:dyDescent="0.2">
      <c r="A28" s="50">
        <v>1969</v>
      </c>
      <c r="B28" s="2">
        <v>1.4999999999999999E-2</v>
      </c>
      <c r="C28" s="17">
        <v>0.05</v>
      </c>
      <c r="D28" s="17">
        <v>0.155</v>
      </c>
      <c r="E28" s="17">
        <v>0.187</v>
      </c>
      <c r="F28" s="17">
        <v>0.223</v>
      </c>
      <c r="G28" s="17">
        <v>0.23899999999999999</v>
      </c>
      <c r="H28" s="17">
        <v>0.27600000000000002</v>
      </c>
      <c r="I28" s="17">
        <v>0.29899999999999999</v>
      </c>
      <c r="J28" s="17">
        <v>0.30599999999999999</v>
      </c>
      <c r="K28" s="17">
        <v>0.312</v>
      </c>
    </row>
    <row r="29" spans="1:12" x14ac:dyDescent="0.2">
      <c r="A29" s="50">
        <v>1970</v>
      </c>
      <c r="B29" s="2">
        <v>1.4999999999999999E-2</v>
      </c>
      <c r="C29" s="17">
        <v>0.05</v>
      </c>
      <c r="D29" s="17">
        <v>0.155</v>
      </c>
      <c r="E29" s="17">
        <v>0.187</v>
      </c>
      <c r="F29" s="17">
        <v>0.223</v>
      </c>
      <c r="G29" s="17">
        <v>0.23899999999999999</v>
      </c>
      <c r="H29" s="17">
        <v>0.27600000000000002</v>
      </c>
      <c r="I29" s="17">
        <v>0.29899999999999999</v>
      </c>
      <c r="J29" s="17">
        <v>0.30599999999999999</v>
      </c>
      <c r="K29" s="17">
        <v>0.312</v>
      </c>
    </row>
    <row r="30" spans="1:12" s="2" customFormat="1" x14ac:dyDescent="0.2">
      <c r="A30" s="50">
        <v>1971</v>
      </c>
      <c r="B30" s="17">
        <v>1.4999999999999999E-2</v>
      </c>
      <c r="C30" s="17">
        <v>0.05</v>
      </c>
      <c r="D30" s="17">
        <v>0.155</v>
      </c>
      <c r="E30" s="17">
        <v>0.187</v>
      </c>
      <c r="F30" s="17">
        <v>0.223</v>
      </c>
      <c r="G30" s="17">
        <v>0.23899999999999999</v>
      </c>
      <c r="H30" s="17">
        <v>0.27600000000000002</v>
      </c>
      <c r="I30" s="17">
        <v>0.29899999999999999</v>
      </c>
      <c r="J30" s="17">
        <v>0.30599999999999999</v>
      </c>
      <c r="K30" s="17">
        <v>0.312</v>
      </c>
      <c r="L30"/>
    </row>
    <row r="31" spans="1:12" x14ac:dyDescent="0.2">
      <c r="A31" s="50">
        <v>1972</v>
      </c>
      <c r="B31" s="17">
        <v>1.4999999999999999E-2</v>
      </c>
      <c r="C31" s="17">
        <v>0.05</v>
      </c>
      <c r="D31" s="17">
        <v>0.155</v>
      </c>
      <c r="E31" s="17">
        <v>0.187</v>
      </c>
      <c r="F31" s="17">
        <v>0.223</v>
      </c>
      <c r="G31" s="17">
        <v>0.23899999999999999</v>
      </c>
      <c r="H31" s="17">
        <v>0.27600000000000002</v>
      </c>
      <c r="I31" s="17">
        <v>0.29899999999999999</v>
      </c>
      <c r="J31" s="17">
        <v>0.30599999999999999</v>
      </c>
      <c r="K31" s="17">
        <v>0.312</v>
      </c>
    </row>
    <row r="32" spans="1:12" x14ac:dyDescent="0.2">
      <c r="A32" s="50">
        <v>1973</v>
      </c>
      <c r="B32" s="17">
        <v>1.4999999999999999E-2</v>
      </c>
      <c r="C32" s="17">
        <v>0.05</v>
      </c>
      <c r="D32" s="17">
        <v>0.155</v>
      </c>
      <c r="E32" s="17">
        <v>0.187</v>
      </c>
      <c r="F32" s="17">
        <v>0.223</v>
      </c>
      <c r="G32" s="17">
        <v>0.23899999999999999</v>
      </c>
      <c r="H32" s="17">
        <v>0.27600000000000002</v>
      </c>
      <c r="I32" s="17">
        <v>0.29899999999999999</v>
      </c>
      <c r="J32" s="17">
        <v>0.30599999999999999</v>
      </c>
      <c r="K32" s="17">
        <v>0.312</v>
      </c>
    </row>
    <row r="33" spans="1:11" x14ac:dyDescent="0.2">
      <c r="A33" s="50">
        <v>1974</v>
      </c>
      <c r="B33" s="17">
        <v>1.4999999999999999E-2</v>
      </c>
      <c r="C33" s="17">
        <v>0.05</v>
      </c>
      <c r="D33" s="17">
        <v>0.155</v>
      </c>
      <c r="E33" s="17">
        <v>0.187</v>
      </c>
      <c r="F33" s="17">
        <v>0.223</v>
      </c>
      <c r="G33" s="17">
        <v>0.23899999999999999</v>
      </c>
      <c r="H33" s="17">
        <v>0.27600000000000002</v>
      </c>
      <c r="I33" s="17">
        <v>0.29899999999999999</v>
      </c>
      <c r="J33" s="17">
        <v>0.30599999999999999</v>
      </c>
      <c r="K33" s="17">
        <v>0.312</v>
      </c>
    </row>
    <row r="34" spans="1:11" x14ac:dyDescent="0.2">
      <c r="A34" s="50">
        <v>1975</v>
      </c>
      <c r="B34" s="17">
        <v>1.4999999999999999E-2</v>
      </c>
      <c r="C34" s="17">
        <v>0.05</v>
      </c>
      <c r="D34" s="17">
        <v>0.155</v>
      </c>
      <c r="E34" s="17">
        <v>0.187</v>
      </c>
      <c r="F34" s="17">
        <v>0.223</v>
      </c>
      <c r="G34" s="17">
        <v>0.23899999999999999</v>
      </c>
      <c r="H34" s="17">
        <v>0.27600000000000002</v>
      </c>
      <c r="I34" s="17">
        <v>0.29899999999999999</v>
      </c>
      <c r="J34" s="17">
        <v>0.30599999999999999</v>
      </c>
      <c r="K34" s="17">
        <v>0.312</v>
      </c>
    </row>
    <row r="35" spans="1:11" x14ac:dyDescent="0.2">
      <c r="A35" s="50">
        <v>1976</v>
      </c>
      <c r="B35" s="17">
        <v>1.4999999999999999E-2</v>
      </c>
      <c r="C35" s="17">
        <v>0.05</v>
      </c>
      <c r="D35" s="17">
        <v>0.155</v>
      </c>
      <c r="E35" s="17">
        <v>0.187</v>
      </c>
      <c r="F35" s="17">
        <v>0.223</v>
      </c>
      <c r="G35" s="17">
        <v>0.23899999999999999</v>
      </c>
      <c r="H35" s="17">
        <v>0.27600000000000002</v>
      </c>
      <c r="I35" s="17">
        <v>0.29899999999999999</v>
      </c>
      <c r="J35" s="17">
        <v>0.30599999999999999</v>
      </c>
      <c r="K35" s="17">
        <v>0.312</v>
      </c>
    </row>
    <row r="36" spans="1:11" x14ac:dyDescent="0.2">
      <c r="A36" s="50">
        <v>1977</v>
      </c>
      <c r="B36" s="17">
        <v>1.4999999999999999E-2</v>
      </c>
      <c r="C36" s="17">
        <v>0.05</v>
      </c>
      <c r="D36" s="17">
        <v>0.155</v>
      </c>
      <c r="E36" s="17">
        <v>0.187</v>
      </c>
      <c r="F36" s="17">
        <v>0.223</v>
      </c>
      <c r="G36" s="17">
        <v>0.23899999999999999</v>
      </c>
      <c r="H36" s="17">
        <v>0.27600000000000002</v>
      </c>
      <c r="I36" s="17">
        <v>0.29899999999999999</v>
      </c>
      <c r="J36" s="17">
        <v>0.30599999999999999</v>
      </c>
      <c r="K36" s="17">
        <v>0.312</v>
      </c>
    </row>
    <row r="37" spans="1:11" x14ac:dyDescent="0.2">
      <c r="A37" s="50">
        <v>1978</v>
      </c>
      <c r="B37" s="17">
        <v>1.4999999999999999E-2</v>
      </c>
      <c r="C37" s="17">
        <v>0.05</v>
      </c>
      <c r="D37" s="17">
        <v>0.155</v>
      </c>
      <c r="E37" s="17">
        <v>0.187</v>
      </c>
      <c r="F37" s="17">
        <v>0.223</v>
      </c>
      <c r="G37" s="17">
        <v>0.23899999999999999</v>
      </c>
      <c r="H37" s="17">
        <v>0.27600000000000002</v>
      </c>
      <c r="I37" s="17">
        <v>0.29899999999999999</v>
      </c>
      <c r="J37" s="17">
        <v>0.30599999999999999</v>
      </c>
      <c r="K37" s="17">
        <v>0.312</v>
      </c>
    </row>
    <row r="38" spans="1:11" x14ac:dyDescent="0.2">
      <c r="A38" s="50">
        <v>1979</v>
      </c>
      <c r="B38" s="17">
        <v>1.4999999999999999E-2</v>
      </c>
      <c r="C38" s="17">
        <v>0.05</v>
      </c>
      <c r="D38" s="17">
        <v>0.155</v>
      </c>
      <c r="E38" s="17">
        <v>0.187</v>
      </c>
      <c r="F38" s="17">
        <v>0.223</v>
      </c>
      <c r="G38" s="17">
        <v>0.23899999999999999</v>
      </c>
      <c r="H38" s="17">
        <v>0.27600000000000002</v>
      </c>
      <c r="I38" s="17">
        <v>0.29899999999999999</v>
      </c>
      <c r="J38" s="17">
        <v>0.30599999999999999</v>
      </c>
      <c r="K38" s="17">
        <v>0.312</v>
      </c>
    </row>
    <row r="39" spans="1:11" x14ac:dyDescent="0.2">
      <c r="A39" s="50">
        <v>1980</v>
      </c>
      <c r="B39" s="17">
        <v>1.4999999999999999E-2</v>
      </c>
      <c r="C39" s="17">
        <v>0.05</v>
      </c>
      <c r="D39" s="17">
        <v>0.155</v>
      </c>
      <c r="E39" s="17">
        <v>0.187</v>
      </c>
      <c r="F39" s="17">
        <v>0.223</v>
      </c>
      <c r="G39" s="17">
        <v>0.23899999999999999</v>
      </c>
      <c r="H39" s="17">
        <v>0.27600000000000002</v>
      </c>
      <c r="I39" s="17">
        <v>0.29899999999999999</v>
      </c>
      <c r="J39" s="17">
        <v>0.30599999999999999</v>
      </c>
      <c r="K39" s="17">
        <v>0.312</v>
      </c>
    </row>
    <row r="40" spans="1:11" x14ac:dyDescent="0.2">
      <c r="A40" s="50">
        <v>1981</v>
      </c>
      <c r="B40" s="17">
        <v>1.4999999999999999E-2</v>
      </c>
      <c r="C40" s="17">
        <v>0.05</v>
      </c>
      <c r="D40" s="17">
        <v>0.155</v>
      </c>
      <c r="E40" s="17">
        <v>0.187</v>
      </c>
      <c r="F40" s="17">
        <v>0.223</v>
      </c>
      <c r="G40" s="17">
        <v>0.23899999999999999</v>
      </c>
      <c r="H40" s="17">
        <v>0.27600000000000002</v>
      </c>
      <c r="I40" s="17">
        <v>0.29899999999999999</v>
      </c>
      <c r="J40" s="17">
        <v>0.30599999999999999</v>
      </c>
      <c r="K40" s="17">
        <v>0.312</v>
      </c>
    </row>
    <row r="41" spans="1:11" x14ac:dyDescent="0.2">
      <c r="A41" s="50">
        <v>1982</v>
      </c>
      <c r="B41" s="17">
        <v>1.4999999999999999E-2</v>
      </c>
      <c r="C41" s="17">
        <v>0.05</v>
      </c>
      <c r="D41" s="17">
        <v>0.155</v>
      </c>
      <c r="E41" s="17">
        <v>0.187</v>
      </c>
      <c r="F41" s="17">
        <v>0.223</v>
      </c>
      <c r="G41" s="17">
        <v>0.23899999999999999</v>
      </c>
      <c r="H41" s="17">
        <v>0.27600000000000002</v>
      </c>
      <c r="I41" s="17">
        <v>0.29899999999999999</v>
      </c>
      <c r="J41" s="17">
        <v>0.30599999999999999</v>
      </c>
      <c r="K41" s="17">
        <v>0.312</v>
      </c>
    </row>
    <row r="42" spans="1:11" x14ac:dyDescent="0.2">
      <c r="A42" s="50">
        <v>1983</v>
      </c>
      <c r="B42" s="27">
        <v>1.4999999999999999E-2</v>
      </c>
      <c r="C42" s="27">
        <v>0.05</v>
      </c>
      <c r="D42" s="27">
        <v>0.155</v>
      </c>
      <c r="E42" s="27">
        <v>0.187</v>
      </c>
      <c r="F42" s="27">
        <v>0.223</v>
      </c>
      <c r="G42" s="27">
        <v>0.23899999999999999</v>
      </c>
      <c r="H42" s="27">
        <v>0.27600000000000002</v>
      </c>
      <c r="I42" s="27">
        <v>0.29899999999999999</v>
      </c>
      <c r="J42" s="27">
        <v>0.30599999999999999</v>
      </c>
      <c r="K42" s="27">
        <v>0.312</v>
      </c>
    </row>
    <row r="43" spans="1:11" x14ac:dyDescent="0.2">
      <c r="A43" s="50">
        <v>1984</v>
      </c>
      <c r="B43" s="27">
        <v>2.1999999999999999E-2</v>
      </c>
      <c r="C43" s="27">
        <v>7.0000000000000007E-2</v>
      </c>
      <c r="D43" s="27">
        <v>0.14099999999999999</v>
      </c>
      <c r="E43" s="27">
        <v>0.19700000000000001</v>
      </c>
      <c r="F43" s="27">
        <v>0.24299999999999999</v>
      </c>
      <c r="G43" s="27">
        <v>0.252</v>
      </c>
      <c r="H43" s="27">
        <v>0.29399999999999998</v>
      </c>
      <c r="I43" s="27">
        <v>0.33400000000000002</v>
      </c>
      <c r="J43" s="27">
        <v>0.40100000000000002</v>
      </c>
      <c r="K43" s="27">
        <v>0.41699999999999998</v>
      </c>
    </row>
    <row r="44" spans="1:11" x14ac:dyDescent="0.2">
      <c r="A44" s="50">
        <v>1985</v>
      </c>
      <c r="B44" s="27">
        <v>0.01</v>
      </c>
      <c r="C44" s="27">
        <v>4.9000000000000002E-2</v>
      </c>
      <c r="D44" s="27">
        <v>0.11799999999999999</v>
      </c>
      <c r="E44" s="27">
        <v>0.17699999999999999</v>
      </c>
      <c r="F44" s="27">
        <v>0.23100000000000001</v>
      </c>
      <c r="G44" s="27">
        <v>0.249</v>
      </c>
      <c r="H44" s="27">
        <v>0.254</v>
      </c>
      <c r="I44" s="27">
        <v>0.33</v>
      </c>
      <c r="J44" s="27">
        <v>0.317</v>
      </c>
      <c r="K44" s="27">
        <v>0.36599999999999999</v>
      </c>
    </row>
    <row r="45" spans="1:11" x14ac:dyDescent="0.2">
      <c r="A45" s="50">
        <v>1986</v>
      </c>
      <c r="B45" s="27">
        <v>0.01</v>
      </c>
      <c r="C45" s="27">
        <v>6.4000000000000001E-2</v>
      </c>
      <c r="D45" s="27">
        <v>0.13100000000000001</v>
      </c>
      <c r="E45" s="27">
        <v>0.17599999999999999</v>
      </c>
      <c r="F45" s="27">
        <v>0.221</v>
      </c>
      <c r="G45" s="27">
        <v>0.255</v>
      </c>
      <c r="H45" s="27">
        <v>0.27100000000000002</v>
      </c>
      <c r="I45" s="27">
        <v>0.28000000000000003</v>
      </c>
      <c r="J45" s="27">
        <v>0.27600000000000002</v>
      </c>
      <c r="K45" s="27">
        <v>0.39200000000000002</v>
      </c>
    </row>
    <row r="46" spans="1:11" x14ac:dyDescent="0.2">
      <c r="A46" s="50">
        <v>1987</v>
      </c>
      <c r="B46" s="27">
        <v>7.0000000000000001E-3</v>
      </c>
      <c r="C46" s="27">
        <v>3.7999999999999999E-2</v>
      </c>
      <c r="D46" s="27">
        <v>0.11600000000000001</v>
      </c>
      <c r="E46" s="27">
        <v>0.157</v>
      </c>
      <c r="F46" s="27">
        <v>0.185</v>
      </c>
      <c r="G46" s="27">
        <v>0.186</v>
      </c>
      <c r="H46" s="27">
        <v>0.20100000000000001</v>
      </c>
      <c r="I46" s="27">
        <v>0.214</v>
      </c>
      <c r="J46" s="27">
        <v>0.21</v>
      </c>
      <c r="K46" s="27">
        <v>0.27</v>
      </c>
    </row>
    <row r="47" spans="1:11" x14ac:dyDescent="0.2">
      <c r="A47" s="50">
        <v>1988</v>
      </c>
      <c r="B47" s="27">
        <v>7.0000000000000001E-3</v>
      </c>
      <c r="C47" s="27">
        <v>4.2999999999999997E-2</v>
      </c>
      <c r="D47" s="27">
        <v>0.122</v>
      </c>
      <c r="E47" s="27">
        <v>0.16600000000000001</v>
      </c>
      <c r="F47" s="27">
        <v>0.219</v>
      </c>
      <c r="G47" s="27">
        <v>0.246</v>
      </c>
      <c r="H47" s="27">
        <v>0.27300000000000002</v>
      </c>
      <c r="I47" s="27">
        <v>0.28199999999999997</v>
      </c>
      <c r="J47" s="27">
        <v>0.30399999999999999</v>
      </c>
      <c r="K47" s="27">
        <v>0.313</v>
      </c>
    </row>
    <row r="48" spans="1:11" x14ac:dyDescent="0.2">
      <c r="A48" s="50">
        <v>1989</v>
      </c>
      <c r="B48" s="27">
        <v>1.2E-2</v>
      </c>
      <c r="C48" s="27">
        <v>0.05</v>
      </c>
      <c r="D48" s="27">
        <v>0.129</v>
      </c>
      <c r="E48" s="27">
        <v>0.17299999999999999</v>
      </c>
      <c r="F48" s="27">
        <v>0.21</v>
      </c>
      <c r="G48" s="27">
        <v>0.253</v>
      </c>
      <c r="H48" s="27">
        <v>0.28299999999999997</v>
      </c>
      <c r="I48" s="27">
        <v>0.28799999999999998</v>
      </c>
      <c r="J48" s="27">
        <v>0.316</v>
      </c>
      <c r="K48" s="27">
        <v>0.36299999999999999</v>
      </c>
    </row>
    <row r="49" spans="1:11" x14ac:dyDescent="0.2">
      <c r="A49" s="50">
        <v>1990</v>
      </c>
      <c r="B49" s="27">
        <v>1.7999999999999999E-2</v>
      </c>
      <c r="C49" s="27">
        <v>6.3E-2</v>
      </c>
      <c r="D49" s="27">
        <v>0.126</v>
      </c>
      <c r="E49" s="27">
        <v>0.184</v>
      </c>
      <c r="F49" s="27">
        <v>0.20599999999999999</v>
      </c>
      <c r="G49" s="27">
        <v>0.23200000000000001</v>
      </c>
      <c r="H49" s="27">
        <v>0.25600000000000001</v>
      </c>
      <c r="I49" s="27">
        <v>0.28100000000000003</v>
      </c>
      <c r="J49" s="27">
        <v>0.27500000000000002</v>
      </c>
      <c r="K49" s="27">
        <v>0.317</v>
      </c>
    </row>
    <row r="50" spans="1:11" x14ac:dyDescent="0.2">
      <c r="A50" s="50">
        <v>1991</v>
      </c>
      <c r="B50" s="3">
        <v>4.0000000000000001E-3</v>
      </c>
      <c r="C50" s="3">
        <v>6.4000000000000001E-2</v>
      </c>
      <c r="D50" s="3">
        <v>0.16200000000000001</v>
      </c>
      <c r="E50" s="3">
        <v>0.19400000000000001</v>
      </c>
      <c r="F50" s="3">
        <v>0.22</v>
      </c>
      <c r="G50" s="3">
        <v>0.23100000000000001</v>
      </c>
      <c r="H50" s="3">
        <v>0.25700000000000001</v>
      </c>
      <c r="I50" s="3">
        <v>0.27</v>
      </c>
      <c r="J50" s="3">
        <v>0.31</v>
      </c>
      <c r="K50" s="3">
        <v>0.30299999999999999</v>
      </c>
    </row>
    <row r="51" spans="1:11" x14ac:dyDescent="0.2">
      <c r="A51" s="50">
        <v>1992</v>
      </c>
      <c r="B51" s="3">
        <v>8.9999999999999993E-3</v>
      </c>
      <c r="C51" s="3">
        <v>6.4000000000000001E-2</v>
      </c>
      <c r="D51" s="3">
        <v>0.122</v>
      </c>
      <c r="E51" s="3">
        <v>0.20399999999999999</v>
      </c>
      <c r="F51" s="3">
        <v>0.216</v>
      </c>
      <c r="G51" s="3">
        <v>0.24</v>
      </c>
      <c r="H51" s="3">
        <v>0.246</v>
      </c>
      <c r="I51" s="3">
        <v>0.26400000000000001</v>
      </c>
      <c r="J51" s="3">
        <v>0.28799999999999998</v>
      </c>
      <c r="K51" s="3">
        <v>0.315</v>
      </c>
    </row>
    <row r="52" spans="1:11" x14ac:dyDescent="0.2">
      <c r="A52" s="50">
        <v>1993</v>
      </c>
      <c r="B52" s="59">
        <v>4.0000000000000001E-3</v>
      </c>
      <c r="C52" s="3">
        <v>5.5E-2</v>
      </c>
      <c r="D52" s="3">
        <v>0.11799999999999999</v>
      </c>
      <c r="E52" s="3">
        <v>0.155</v>
      </c>
      <c r="F52" s="3">
        <v>0.20300000000000001</v>
      </c>
      <c r="G52" s="3">
        <v>0.23200000000000001</v>
      </c>
      <c r="H52" s="3">
        <v>0.28199999999999997</v>
      </c>
      <c r="I52" s="3">
        <v>0.28399999999999997</v>
      </c>
      <c r="J52" s="3">
        <v>0.309</v>
      </c>
      <c r="K52" s="3">
        <v>0.34100000000000003</v>
      </c>
    </row>
    <row r="53" spans="1:11" x14ac:dyDescent="0.2">
      <c r="A53" s="50">
        <v>1994</v>
      </c>
      <c r="B53" s="59">
        <v>8.9999999999999993E-3</v>
      </c>
      <c r="C53" s="3">
        <v>6.0999999999999999E-2</v>
      </c>
      <c r="D53" s="3">
        <v>0.13900000000000001</v>
      </c>
      <c r="E53" s="3">
        <v>0.216</v>
      </c>
      <c r="F53" s="3">
        <v>0.224</v>
      </c>
      <c r="G53" s="3">
        <v>0.247</v>
      </c>
      <c r="H53" s="3">
        <v>0.29599999999999999</v>
      </c>
      <c r="I53" s="3">
        <v>0.32600000000000001</v>
      </c>
      <c r="J53" s="3">
        <v>0.33100000000000002</v>
      </c>
      <c r="K53" s="3">
        <v>0.35599999999999998</v>
      </c>
    </row>
    <row r="54" spans="1:11" x14ac:dyDescent="0.2">
      <c r="A54" s="50">
        <v>1995</v>
      </c>
      <c r="B54" s="59">
        <v>5.0000000000000001E-3</v>
      </c>
      <c r="C54" s="3">
        <v>5.6000000000000001E-2</v>
      </c>
      <c r="D54" s="3">
        <v>0.13100000000000001</v>
      </c>
      <c r="E54" s="3">
        <v>0.186</v>
      </c>
      <c r="F54" s="3">
        <v>0.20499999999999999</v>
      </c>
      <c r="G54" s="3">
        <v>0.19400000000000001</v>
      </c>
      <c r="H54" s="3">
        <v>0.22600000000000001</v>
      </c>
      <c r="I54" s="3">
        <v>0.27</v>
      </c>
      <c r="J54" s="3">
        <v>0.314</v>
      </c>
      <c r="K54" s="3">
        <v>0.33900000000000002</v>
      </c>
    </row>
    <row r="55" spans="1:11" x14ac:dyDescent="0.2">
      <c r="A55" s="50">
        <v>1996</v>
      </c>
      <c r="B55" s="59">
        <v>4.0000000000000001E-3</v>
      </c>
      <c r="C55" s="3">
        <v>4.4999999999999998E-2</v>
      </c>
      <c r="D55" s="3">
        <v>0.11899999999999999</v>
      </c>
      <c r="E55" s="3">
        <v>0.19600000000000001</v>
      </c>
      <c r="F55" s="3">
        <v>0.253</v>
      </c>
      <c r="G55" s="3">
        <v>0.26200000000000001</v>
      </c>
      <c r="H55" s="3">
        <v>0.29899999999999999</v>
      </c>
      <c r="I55" s="3">
        <v>0.30599999999999999</v>
      </c>
      <c r="J55" s="3">
        <v>0.32500000000000001</v>
      </c>
      <c r="K55" s="3">
        <v>0.33500000000000002</v>
      </c>
    </row>
    <row r="56" spans="1:11" x14ac:dyDescent="0.2">
      <c r="A56" s="50">
        <v>1997</v>
      </c>
      <c r="B56" s="59">
        <v>6.0000000000000001E-3</v>
      </c>
      <c r="C56" s="3">
        <v>4.4999999999999998E-2</v>
      </c>
      <c r="D56" s="3">
        <v>0.12</v>
      </c>
      <c r="E56" s="3">
        <v>0.16800000000000001</v>
      </c>
      <c r="F56" s="3">
        <v>0.23300000000000001</v>
      </c>
      <c r="G56" s="3">
        <v>0.25600000000000001</v>
      </c>
      <c r="H56" s="3">
        <v>0.245</v>
      </c>
      <c r="I56" s="3">
        <v>0.26500000000000001</v>
      </c>
      <c r="J56" s="3">
        <v>0.26900000000000002</v>
      </c>
      <c r="K56" s="3">
        <v>0.32900000000000001</v>
      </c>
    </row>
    <row r="57" spans="1:11" x14ac:dyDescent="0.2">
      <c r="A57" s="50">
        <v>1998</v>
      </c>
      <c r="B57" s="59">
        <v>7.0000000000000001E-3</v>
      </c>
      <c r="C57" s="3">
        <v>5.1999999999999998E-2</v>
      </c>
      <c r="D57" s="3">
        <v>0.109</v>
      </c>
      <c r="E57" s="3">
        <v>0.19800000000000001</v>
      </c>
      <c r="F57" s="3">
        <v>0.23799999999999999</v>
      </c>
      <c r="G57" s="3">
        <v>0.27500000000000002</v>
      </c>
      <c r="H57" s="3">
        <v>0.307</v>
      </c>
      <c r="I57" s="3">
        <v>0.28899999999999998</v>
      </c>
      <c r="J57" s="3">
        <v>0.308</v>
      </c>
      <c r="K57" s="3">
        <v>0.36299999999999999</v>
      </c>
    </row>
    <row r="58" spans="1:11" x14ac:dyDescent="0.2">
      <c r="A58" s="50">
        <v>1999</v>
      </c>
      <c r="B58" s="3">
        <v>5.0000000000000001E-3</v>
      </c>
      <c r="C58" s="3">
        <v>5.5E-2</v>
      </c>
      <c r="D58" s="3">
        <v>0.11899999999999999</v>
      </c>
      <c r="E58" s="3">
        <v>0.17199999999999999</v>
      </c>
      <c r="F58" s="3">
        <v>0.20799999999999999</v>
      </c>
      <c r="G58" s="3">
        <v>0.23699999999999999</v>
      </c>
      <c r="H58" s="3">
        <v>0.26800000000000002</v>
      </c>
      <c r="I58" s="3">
        <v>0.27400000000000002</v>
      </c>
      <c r="J58" s="3">
        <v>0.23300000000000001</v>
      </c>
      <c r="K58" s="3">
        <v>0.26300000000000001</v>
      </c>
    </row>
    <row r="59" spans="1:11" x14ac:dyDescent="0.2">
      <c r="A59" s="50">
        <v>2000</v>
      </c>
      <c r="B59" s="3">
        <v>5.0000000000000001E-3</v>
      </c>
      <c r="C59" s="3">
        <v>4.7E-2</v>
      </c>
      <c r="D59" s="3">
        <v>0.11899999999999999</v>
      </c>
      <c r="E59" s="3">
        <v>0.18099999999999999</v>
      </c>
      <c r="F59" s="3">
        <v>0.218</v>
      </c>
      <c r="G59" s="3">
        <v>0.23300000000000001</v>
      </c>
      <c r="H59" s="3">
        <v>0.26100000000000001</v>
      </c>
      <c r="I59" s="3">
        <v>0.29499999999999998</v>
      </c>
      <c r="J59" s="3">
        <v>0.30199999999999999</v>
      </c>
      <c r="K59" s="3">
        <v>0.28299999999999997</v>
      </c>
    </row>
    <row r="60" spans="1:11" x14ac:dyDescent="0.2">
      <c r="A60" s="50">
        <v>2001</v>
      </c>
      <c r="B60" s="3">
        <v>8.0000000000000002E-3</v>
      </c>
      <c r="C60" s="3">
        <v>0.05</v>
      </c>
      <c r="D60" s="3">
        <v>0.127</v>
      </c>
      <c r="E60" s="3">
        <v>0.16200000000000001</v>
      </c>
      <c r="F60" s="3">
        <v>0.20399999999999999</v>
      </c>
      <c r="G60" s="3">
        <v>0.22800000000000001</v>
      </c>
      <c r="H60" s="3">
        <v>0.23699999999999999</v>
      </c>
      <c r="I60" s="3">
        <v>0.255</v>
      </c>
      <c r="J60" s="3">
        <v>0.28599999999999998</v>
      </c>
      <c r="K60" s="3">
        <v>0.29399999999999998</v>
      </c>
    </row>
    <row r="61" spans="1:11" x14ac:dyDescent="0.2">
      <c r="A61" s="50">
        <v>2002</v>
      </c>
      <c r="B61" s="3">
        <v>6.0000000000000001E-3</v>
      </c>
      <c r="C61" s="3">
        <v>4.4999999999999998E-2</v>
      </c>
      <c r="D61" s="3">
        <v>0.13800000000000001</v>
      </c>
      <c r="E61" s="3">
        <v>0.17199999999999999</v>
      </c>
      <c r="F61" s="3">
        <v>0.19400000000000001</v>
      </c>
      <c r="G61" s="3">
        <v>0.224</v>
      </c>
      <c r="H61" s="3">
        <v>0.247</v>
      </c>
      <c r="I61" s="3">
        <v>0.26100000000000001</v>
      </c>
      <c r="J61" s="3">
        <v>0.28000000000000003</v>
      </c>
      <c r="K61" s="3">
        <v>0.249</v>
      </c>
    </row>
    <row r="62" spans="1:11" x14ac:dyDescent="0.2">
      <c r="A62" s="50">
        <v>2003</v>
      </c>
      <c r="B62" s="3">
        <v>6.0000000000000001E-3</v>
      </c>
      <c r="C62" s="3">
        <v>4.5999999999999999E-2</v>
      </c>
      <c r="D62" s="3">
        <v>0.104</v>
      </c>
      <c r="E62" s="3">
        <v>0.185</v>
      </c>
      <c r="F62" s="3">
        <v>0.20899999999999999</v>
      </c>
      <c r="G62" s="3">
        <v>0.214</v>
      </c>
      <c r="H62" s="3">
        <v>0.24299999999999999</v>
      </c>
      <c r="I62" s="3">
        <v>0.28100000000000003</v>
      </c>
      <c r="J62" s="3">
        <v>0.28999999999999998</v>
      </c>
      <c r="K62" s="3">
        <v>0.307</v>
      </c>
    </row>
    <row r="63" spans="1:11" x14ac:dyDescent="0.2">
      <c r="A63" s="50">
        <v>2004</v>
      </c>
      <c r="B63" s="3">
        <v>8.0000000000000002E-3</v>
      </c>
      <c r="C63" s="3">
        <v>3.5000000000000003E-2</v>
      </c>
      <c r="D63" s="3">
        <v>0.11600000000000001</v>
      </c>
      <c r="E63" s="3">
        <v>0.13900000000000001</v>
      </c>
      <c r="F63" s="3">
        <v>0.20499999999999999</v>
      </c>
      <c r="G63" s="3">
        <v>0.23100000000000001</v>
      </c>
      <c r="H63" s="3">
        <v>0.253</v>
      </c>
      <c r="I63" s="3">
        <v>0.26100000000000001</v>
      </c>
      <c r="J63" s="3">
        <v>0.27900000000000003</v>
      </c>
      <c r="K63" s="3">
        <v>0.27</v>
      </c>
    </row>
    <row r="64" spans="1:11" x14ac:dyDescent="0.2">
      <c r="A64" s="50">
        <v>2005</v>
      </c>
      <c r="B64" s="3">
        <v>3.2000000000000002E-3</v>
      </c>
      <c r="C64" s="3">
        <v>4.3299999999999998E-2</v>
      </c>
      <c r="D64" s="3">
        <v>0.1343</v>
      </c>
      <c r="E64" s="3">
        <v>0.16930000000000001</v>
      </c>
      <c r="F64" s="3">
        <v>0.1797</v>
      </c>
      <c r="G64" s="3">
        <v>0.22850000000000001</v>
      </c>
      <c r="H64" s="3">
        <v>0.2475</v>
      </c>
      <c r="I64" s="3">
        <v>0.25259999999999999</v>
      </c>
      <c r="J64" s="3">
        <v>0.27439999999999998</v>
      </c>
      <c r="K64" s="3">
        <v>0.29509999999999997</v>
      </c>
    </row>
    <row r="65" spans="1:11" x14ac:dyDescent="0.2">
      <c r="A65" s="50">
        <v>2006</v>
      </c>
      <c r="B65" s="3">
        <v>9.1000000000000004E-3</v>
      </c>
      <c r="C65" s="3">
        <v>4.4699999999999997E-2</v>
      </c>
      <c r="D65" s="3">
        <v>0.12670000000000001</v>
      </c>
      <c r="E65" s="3">
        <v>0.15790000000000001</v>
      </c>
      <c r="F65" s="3">
        <v>0.188</v>
      </c>
      <c r="G65" s="3">
        <v>0.18790000000000001</v>
      </c>
      <c r="H65" s="3">
        <v>0.22520000000000001</v>
      </c>
      <c r="I65" s="3">
        <v>0.24279999999999999</v>
      </c>
      <c r="J65" s="3">
        <v>0.24390000000000001</v>
      </c>
      <c r="K65" s="3">
        <v>0.26500000000000001</v>
      </c>
    </row>
    <row r="66" spans="1:11" x14ac:dyDescent="0.2">
      <c r="A66" s="50">
        <v>2007</v>
      </c>
      <c r="B66" s="3">
        <v>6.0000000000000001E-3</v>
      </c>
      <c r="C66" s="3">
        <v>6.6000000000000003E-2</v>
      </c>
      <c r="D66" s="3">
        <v>0.123</v>
      </c>
      <c r="E66" s="3">
        <v>0.155</v>
      </c>
      <c r="F66" s="3">
        <v>0.17100000000000001</v>
      </c>
      <c r="G66" s="3">
        <v>0.20399999999999999</v>
      </c>
      <c r="H66" s="3">
        <v>0.19800000000000001</v>
      </c>
      <c r="I66" s="3">
        <v>0.218</v>
      </c>
      <c r="J66" s="3">
        <v>0.247</v>
      </c>
      <c r="K66" s="3">
        <v>0.23300000000000001</v>
      </c>
    </row>
    <row r="67" spans="1:11" x14ac:dyDescent="0.2">
      <c r="A67" s="50">
        <v>2008</v>
      </c>
      <c r="B67" s="3">
        <v>8.6999999999999994E-3</v>
      </c>
      <c r="C67" s="3">
        <v>6.2399999999999997E-2</v>
      </c>
      <c r="D67" s="3">
        <v>0.1414</v>
      </c>
      <c r="E67" s="3">
        <v>0.1797</v>
      </c>
      <c r="F67" s="3">
        <v>0.18329999999999999</v>
      </c>
      <c r="G67" s="3">
        <v>0.19439999999999999</v>
      </c>
      <c r="H67" s="3">
        <v>0.22989999999999999</v>
      </c>
      <c r="I67" s="3">
        <v>0.21740000000000001</v>
      </c>
      <c r="J67" s="3">
        <v>0.26790000000000003</v>
      </c>
      <c r="K67" s="3">
        <v>0.2823</v>
      </c>
    </row>
    <row r="68" spans="1:11" x14ac:dyDescent="0.2">
      <c r="A68" s="50">
        <v>2009</v>
      </c>
      <c r="B68" s="3">
        <v>7.0000000000000001E-3</v>
      </c>
      <c r="C68" s="3">
        <v>5.5899999999999998E-2</v>
      </c>
      <c r="D68" s="3">
        <v>0.1477</v>
      </c>
      <c r="E68" s="3">
        <v>0.20830000000000001</v>
      </c>
      <c r="F68" s="3">
        <v>0.23630000000000001</v>
      </c>
      <c r="G68" s="3">
        <v>0.23150000000000001</v>
      </c>
      <c r="H68" s="3">
        <v>0.23960000000000001</v>
      </c>
      <c r="I68" s="3">
        <v>0.26550000000000001</v>
      </c>
      <c r="J68" s="3">
        <v>0.2492</v>
      </c>
      <c r="K68" s="3">
        <v>0.26269999999999999</v>
      </c>
    </row>
    <row r="69" spans="1:11" x14ac:dyDescent="0.2">
      <c r="A69" s="50">
        <v>2010</v>
      </c>
      <c r="B69" s="3">
        <v>5.7000000000000002E-3</v>
      </c>
      <c r="C69" s="3">
        <v>3.8399999999999997E-2</v>
      </c>
      <c r="D69" s="3">
        <v>0.13769999999999999</v>
      </c>
      <c r="E69" s="3">
        <v>0.18310000000000001</v>
      </c>
      <c r="F69" s="3">
        <v>0.22919999999999999</v>
      </c>
      <c r="G69" s="3">
        <v>0.24490000000000001</v>
      </c>
      <c r="H69" s="3">
        <v>0.2331</v>
      </c>
      <c r="I69" s="3">
        <v>0.2374</v>
      </c>
      <c r="J69" s="3">
        <v>0.25190000000000001</v>
      </c>
      <c r="K69" s="3">
        <v>0.25119999999999998</v>
      </c>
    </row>
    <row r="70" spans="1:11" x14ac:dyDescent="0.2">
      <c r="A70" s="50">
        <v>2011</v>
      </c>
      <c r="B70" s="3">
        <v>7.3000000000000001E-3</v>
      </c>
      <c r="C70" s="3">
        <v>3.5200000000000002E-2</v>
      </c>
      <c r="D70" s="3">
        <v>0.15049999999999999</v>
      </c>
      <c r="E70" s="3">
        <v>0.1709</v>
      </c>
      <c r="F70" s="3">
        <v>0.2097</v>
      </c>
      <c r="G70" s="3">
        <v>0.2417</v>
      </c>
      <c r="H70" s="3">
        <v>0.25779999999999997</v>
      </c>
      <c r="I70" s="3">
        <v>0.24940000000000001</v>
      </c>
      <c r="J70" s="3">
        <v>0.25230000000000002</v>
      </c>
      <c r="K70" s="3">
        <v>0.27460000000000001</v>
      </c>
    </row>
    <row r="71" spans="1:11" x14ac:dyDescent="0.2">
      <c r="A71" s="50">
        <v>2012</v>
      </c>
      <c r="B71" s="3">
        <v>5.3E-3</v>
      </c>
      <c r="C71" s="3">
        <v>4.8099999999999997E-2</v>
      </c>
      <c r="D71" s="3">
        <v>0.12470000000000001</v>
      </c>
      <c r="E71" s="3">
        <v>0.19239999999999999</v>
      </c>
      <c r="F71" s="3">
        <v>0.19539999999999999</v>
      </c>
      <c r="G71" s="3">
        <v>0.21160000000000001</v>
      </c>
      <c r="H71" s="3">
        <v>0.23150000000000001</v>
      </c>
      <c r="I71" s="3">
        <v>0.2419</v>
      </c>
      <c r="J71" s="3">
        <v>0.23899999999999999</v>
      </c>
      <c r="K71" s="3">
        <v>0.24279999999999999</v>
      </c>
    </row>
    <row r="72" spans="1:11" x14ac:dyDescent="0.2">
      <c r="A72" s="50">
        <v>2013</v>
      </c>
      <c r="B72" s="3">
        <v>6.1000000000000004E-3</v>
      </c>
      <c r="C72" s="3">
        <v>3.8100000000000002E-2</v>
      </c>
      <c r="D72" s="3">
        <v>0.13100000000000001</v>
      </c>
      <c r="E72" s="3">
        <v>0.16070000000000001</v>
      </c>
      <c r="F72" s="3">
        <v>0.22109999999999999</v>
      </c>
      <c r="G72" s="3">
        <v>0.21</v>
      </c>
      <c r="H72" s="3">
        <v>0.23599999999999999</v>
      </c>
      <c r="I72" s="3">
        <v>0.25659999999999999</v>
      </c>
      <c r="J72" s="3">
        <v>0.2492</v>
      </c>
      <c r="K72" s="3">
        <v>0.25240000000000001</v>
      </c>
    </row>
    <row r="73" spans="1:11" x14ac:dyDescent="0.2">
      <c r="A73" s="50">
        <v>2014</v>
      </c>
      <c r="B73" s="3">
        <v>5.5999999999999999E-3</v>
      </c>
      <c r="C73" s="3">
        <v>4.3999999999999997E-2</v>
      </c>
      <c r="D73" s="3">
        <v>0.12989999999999999</v>
      </c>
      <c r="E73" s="3">
        <v>0.17699999999999999</v>
      </c>
      <c r="F73" s="3">
        <v>0.19450000000000001</v>
      </c>
      <c r="G73" s="3">
        <v>0.22520000000000001</v>
      </c>
      <c r="H73" s="3">
        <v>0.21779999999999999</v>
      </c>
      <c r="I73" s="3">
        <v>0.22509999999999999</v>
      </c>
      <c r="J73" s="3">
        <v>0.25030000000000002</v>
      </c>
      <c r="K73" s="3">
        <v>0.24610000000000001</v>
      </c>
    </row>
    <row r="74" spans="1:11" x14ac:dyDescent="0.2">
      <c r="A74" s="50">
        <v>2015</v>
      </c>
      <c r="B74" s="58">
        <v>4.0000000000000001E-3</v>
      </c>
      <c r="C74" s="58">
        <v>4.9299999999999997E-2</v>
      </c>
      <c r="D74" s="58">
        <v>0.12090000000000001</v>
      </c>
      <c r="E74" s="58">
        <v>0.1464</v>
      </c>
      <c r="F74" s="58">
        <v>0.1835</v>
      </c>
      <c r="G74" s="58">
        <v>0.1996</v>
      </c>
      <c r="H74" s="58">
        <v>0.22009999999999999</v>
      </c>
      <c r="I74" s="58">
        <v>0.2054</v>
      </c>
      <c r="J74" s="58">
        <v>0.21</v>
      </c>
      <c r="K74" s="58">
        <v>0.2291</v>
      </c>
    </row>
  </sheetData>
  <phoneticPr fontId="0" type="noConversion"/>
  <pageMargins left="0.75" right="0.75" top="1" bottom="1" header="0.5" footer="0.5"/>
  <pageSetup paperSize="9" scale="85" orientation="portrait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E74"/>
  <sheetViews>
    <sheetView zoomScaleNormal="100" workbookViewId="0"/>
  </sheetViews>
  <sheetFormatPr defaultColWidth="8.85546875" defaultRowHeight="12.75" x14ac:dyDescent="0.2"/>
  <cols>
    <col min="1" max="1" width="8.85546875" style="49"/>
    <col min="2" max="2" width="8.85546875" customWidth="1"/>
    <col min="3" max="3" width="10.5703125" customWidth="1"/>
    <col min="4" max="6" width="8.85546875" customWidth="1"/>
    <col min="7" max="7" width="12" customWidth="1"/>
  </cols>
  <sheetData>
    <row r="1" spans="1:31" x14ac:dyDescent="0.2">
      <c r="B1" t="s">
        <v>8</v>
      </c>
      <c r="G1" s="15">
        <f ca="1">NOW()</f>
        <v>42452.710744560187</v>
      </c>
      <c r="H1" s="16">
        <f ca="1">NOW()</f>
        <v>42452.710744560187</v>
      </c>
    </row>
    <row r="2" spans="1:31" x14ac:dyDescent="0.2">
      <c r="B2">
        <v>1</v>
      </c>
      <c r="C2">
        <v>4</v>
      </c>
    </row>
    <row r="3" spans="1:31" x14ac:dyDescent="0.2">
      <c r="B3" s="7">
        <f>caton!$B$3</f>
        <v>1947</v>
      </c>
      <c r="C3" s="30">
        <f>B3+COUNT(B6:B116)-1</f>
        <v>2015</v>
      </c>
    </row>
    <row r="4" spans="1:31" x14ac:dyDescent="0.2">
      <c r="B4">
        <v>0</v>
      </c>
      <c r="C4" s="30">
        <f>B4+COUNT(B37:AA37)-1</f>
        <v>9</v>
      </c>
    </row>
    <row r="5" spans="1:31" x14ac:dyDescent="0.2">
      <c r="B5">
        <v>1</v>
      </c>
    </row>
    <row r="6" spans="1:31" x14ac:dyDescent="0.2">
      <c r="A6" s="50">
        <v>1947</v>
      </c>
      <c r="B6" s="3">
        <v>1.4999999999999999E-2</v>
      </c>
      <c r="C6" s="3">
        <v>0.05</v>
      </c>
      <c r="D6" s="3">
        <v>0.155</v>
      </c>
      <c r="E6" s="3">
        <v>0.187</v>
      </c>
      <c r="F6" s="3">
        <v>0.223</v>
      </c>
      <c r="G6" s="3">
        <v>0.23899999999999999</v>
      </c>
      <c r="H6" s="3">
        <v>0.27600000000000002</v>
      </c>
      <c r="I6" s="3">
        <v>0.29899999999999999</v>
      </c>
      <c r="J6" s="3">
        <v>0.30599999999999999</v>
      </c>
      <c r="K6" s="3">
        <v>0.312</v>
      </c>
      <c r="L6" s="41" t="s">
        <v>20</v>
      </c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50">
        <v>1948</v>
      </c>
      <c r="B7" s="3">
        <v>1.4999999999999999E-2</v>
      </c>
      <c r="C7" s="3">
        <v>0.05</v>
      </c>
      <c r="D7" s="3">
        <v>0.155</v>
      </c>
      <c r="E7" s="3">
        <v>0.187</v>
      </c>
      <c r="F7" s="3">
        <v>0.223</v>
      </c>
      <c r="G7" s="3">
        <v>0.23899999999999999</v>
      </c>
      <c r="H7" s="3">
        <v>0.27600000000000002</v>
      </c>
      <c r="I7" s="3">
        <v>0.29899999999999999</v>
      </c>
      <c r="J7" s="3">
        <v>0.30599999999999999</v>
      </c>
      <c r="K7" s="3">
        <v>0.312</v>
      </c>
      <c r="L7" s="41" t="s">
        <v>21</v>
      </c>
      <c r="W7" s="4"/>
      <c r="X7" s="4"/>
      <c r="Y7" s="4"/>
      <c r="Z7" s="4"/>
      <c r="AA7" s="4"/>
      <c r="AB7" s="4"/>
      <c r="AC7" s="4"/>
      <c r="AD7" s="4"/>
      <c r="AE7" s="4"/>
    </row>
    <row r="8" spans="1:31" x14ac:dyDescent="0.2">
      <c r="A8" s="50">
        <v>1949</v>
      </c>
      <c r="B8" s="3">
        <v>1.4999999999999999E-2</v>
      </c>
      <c r="C8" s="3">
        <v>0.05</v>
      </c>
      <c r="D8" s="3">
        <v>0.155</v>
      </c>
      <c r="E8" s="3">
        <v>0.187</v>
      </c>
      <c r="F8" s="3">
        <v>0.223</v>
      </c>
      <c r="G8" s="3">
        <v>0.23899999999999999</v>
      </c>
      <c r="H8" s="3">
        <v>0.27600000000000002</v>
      </c>
      <c r="I8" s="3">
        <v>0.29899999999999999</v>
      </c>
      <c r="J8" s="3">
        <v>0.30599999999999999</v>
      </c>
      <c r="K8" s="3">
        <v>0.312</v>
      </c>
      <c r="L8" s="41" t="s">
        <v>22</v>
      </c>
      <c r="W8" s="4"/>
      <c r="X8" s="4"/>
      <c r="Y8" s="4"/>
      <c r="Z8" s="4"/>
      <c r="AA8" s="4"/>
      <c r="AB8" s="4"/>
      <c r="AC8" s="4"/>
      <c r="AD8" s="4"/>
      <c r="AE8" s="4"/>
    </row>
    <row r="9" spans="1:31" x14ac:dyDescent="0.2">
      <c r="A9" s="50">
        <v>1950</v>
      </c>
      <c r="B9" s="3">
        <v>1.4999999999999999E-2</v>
      </c>
      <c r="C9" s="3">
        <v>0.05</v>
      </c>
      <c r="D9" s="3">
        <v>0.155</v>
      </c>
      <c r="E9" s="3">
        <v>0.187</v>
      </c>
      <c r="F9" s="3">
        <v>0.223</v>
      </c>
      <c r="G9" s="3">
        <v>0.23899999999999999</v>
      </c>
      <c r="H9" s="3">
        <v>0.27600000000000002</v>
      </c>
      <c r="I9" s="3">
        <v>0.29899999999999999</v>
      </c>
      <c r="J9" s="3">
        <v>0.30599999999999999</v>
      </c>
      <c r="K9" s="3">
        <v>0.312</v>
      </c>
      <c r="L9" s="41" t="s">
        <v>23</v>
      </c>
      <c r="W9" s="4"/>
      <c r="X9" s="4"/>
      <c r="Y9" s="4"/>
      <c r="Z9" s="4"/>
      <c r="AA9" s="4"/>
      <c r="AB9" s="4"/>
      <c r="AC9" s="4"/>
      <c r="AD9" s="4"/>
      <c r="AE9" s="4"/>
    </row>
    <row r="10" spans="1:31" x14ac:dyDescent="0.2">
      <c r="A10" s="50">
        <v>1951</v>
      </c>
      <c r="B10" s="3">
        <v>1.4999999999999999E-2</v>
      </c>
      <c r="C10" s="3">
        <v>0.05</v>
      </c>
      <c r="D10" s="3">
        <v>0.155</v>
      </c>
      <c r="E10" s="3">
        <v>0.187</v>
      </c>
      <c r="F10" s="3">
        <v>0.223</v>
      </c>
      <c r="G10" s="3">
        <v>0.23899999999999999</v>
      </c>
      <c r="H10" s="3">
        <v>0.27600000000000002</v>
      </c>
      <c r="I10" s="3">
        <v>0.29899999999999999</v>
      </c>
      <c r="J10" s="3">
        <v>0.30599999999999999</v>
      </c>
      <c r="K10" s="3">
        <v>0.312</v>
      </c>
      <c r="L10" s="41" t="s">
        <v>24</v>
      </c>
      <c r="W10" s="4"/>
      <c r="X10" s="4"/>
      <c r="Y10" s="4"/>
      <c r="Z10" s="4"/>
      <c r="AA10" s="4"/>
      <c r="AB10" s="4"/>
      <c r="AC10" s="4"/>
      <c r="AD10" s="4"/>
      <c r="AE10" s="4"/>
    </row>
    <row r="11" spans="1:31" x14ac:dyDescent="0.2">
      <c r="A11" s="50">
        <v>1952</v>
      </c>
      <c r="B11" s="3">
        <v>1.4999999999999999E-2</v>
      </c>
      <c r="C11" s="3">
        <v>0.05</v>
      </c>
      <c r="D11" s="3">
        <v>0.155</v>
      </c>
      <c r="E11" s="3">
        <v>0.187</v>
      </c>
      <c r="F11" s="3">
        <v>0.223</v>
      </c>
      <c r="G11" s="3">
        <v>0.23899999999999999</v>
      </c>
      <c r="H11" s="3">
        <v>0.27600000000000002</v>
      </c>
      <c r="I11" s="3">
        <v>0.29899999999999999</v>
      </c>
      <c r="J11" s="3">
        <v>0.30599999999999999</v>
      </c>
      <c r="K11" s="3">
        <v>0.312</v>
      </c>
      <c r="L11" s="41" t="s">
        <v>25</v>
      </c>
      <c r="W11" s="4"/>
      <c r="X11" s="4"/>
      <c r="Y11" s="4"/>
      <c r="Z11" s="4"/>
      <c r="AA11" s="4"/>
      <c r="AB11" s="4"/>
      <c r="AC11" s="4"/>
      <c r="AD11" s="4"/>
      <c r="AE11" s="4"/>
    </row>
    <row r="12" spans="1:31" x14ac:dyDescent="0.2">
      <c r="A12" s="50">
        <v>1953</v>
      </c>
      <c r="B12" s="3">
        <v>1.4999999999999999E-2</v>
      </c>
      <c r="C12" s="3">
        <v>0.05</v>
      </c>
      <c r="D12" s="3">
        <v>0.155</v>
      </c>
      <c r="E12" s="3">
        <v>0.187</v>
      </c>
      <c r="F12" s="3">
        <v>0.223</v>
      </c>
      <c r="G12" s="3">
        <v>0.23899999999999999</v>
      </c>
      <c r="H12" s="3">
        <v>0.27600000000000002</v>
      </c>
      <c r="I12" s="3">
        <v>0.29899999999999999</v>
      </c>
      <c r="J12" s="3">
        <v>0.30599999999999999</v>
      </c>
      <c r="K12" s="3">
        <v>0.312</v>
      </c>
      <c r="L12" s="41" t="s">
        <v>26</v>
      </c>
      <c r="W12" s="4"/>
      <c r="X12" s="4"/>
      <c r="Y12" s="4"/>
      <c r="Z12" s="4"/>
      <c r="AA12" s="4"/>
      <c r="AB12" s="4"/>
      <c r="AC12" s="4"/>
      <c r="AD12" s="4"/>
      <c r="AE12" s="4"/>
    </row>
    <row r="13" spans="1:31" x14ac:dyDescent="0.2">
      <c r="A13" s="50">
        <v>1954</v>
      </c>
      <c r="B13" s="3">
        <v>1.4999999999999999E-2</v>
      </c>
      <c r="C13" s="3">
        <v>0.05</v>
      </c>
      <c r="D13" s="3">
        <v>0.155</v>
      </c>
      <c r="E13" s="3">
        <v>0.187</v>
      </c>
      <c r="F13" s="3">
        <v>0.223</v>
      </c>
      <c r="G13" s="3">
        <v>0.23899999999999999</v>
      </c>
      <c r="H13" s="3">
        <v>0.27600000000000002</v>
      </c>
      <c r="I13" s="3">
        <v>0.29899999999999999</v>
      </c>
      <c r="J13" s="3">
        <v>0.30599999999999999</v>
      </c>
      <c r="K13" s="3">
        <v>0.312</v>
      </c>
      <c r="L13" s="41" t="s">
        <v>27</v>
      </c>
      <c r="W13" s="4"/>
      <c r="X13" s="4"/>
      <c r="Y13" s="4"/>
      <c r="Z13" s="4"/>
      <c r="AA13" s="4"/>
      <c r="AB13" s="4"/>
      <c r="AC13" s="4"/>
      <c r="AD13" s="4"/>
      <c r="AE13" s="4"/>
    </row>
    <row r="14" spans="1:31" x14ac:dyDescent="0.2">
      <c r="A14" s="50">
        <v>1955</v>
      </c>
      <c r="B14" s="3">
        <v>1.4999999999999999E-2</v>
      </c>
      <c r="C14" s="3">
        <v>0.05</v>
      </c>
      <c r="D14" s="3">
        <v>0.155</v>
      </c>
      <c r="E14" s="3">
        <v>0.187</v>
      </c>
      <c r="F14" s="3">
        <v>0.223</v>
      </c>
      <c r="G14" s="3">
        <v>0.23899999999999999</v>
      </c>
      <c r="H14" s="3">
        <v>0.27600000000000002</v>
      </c>
      <c r="I14" s="3">
        <v>0.29899999999999999</v>
      </c>
      <c r="J14" s="3">
        <v>0.30599999999999999</v>
      </c>
      <c r="K14" s="3">
        <v>0.312</v>
      </c>
      <c r="L14" s="41" t="s">
        <v>28</v>
      </c>
      <c r="W14" s="4"/>
      <c r="X14" s="4"/>
      <c r="Y14" s="4"/>
      <c r="Z14" s="4"/>
      <c r="AA14" s="4"/>
      <c r="AB14" s="4"/>
      <c r="AC14" s="4"/>
      <c r="AD14" s="4"/>
      <c r="AE14" s="4"/>
    </row>
    <row r="15" spans="1:31" x14ac:dyDescent="0.2">
      <c r="A15" s="50">
        <v>1956</v>
      </c>
      <c r="B15" s="3">
        <v>1.4999999999999999E-2</v>
      </c>
      <c r="C15" s="3">
        <v>0.05</v>
      </c>
      <c r="D15" s="3">
        <v>0.155</v>
      </c>
      <c r="E15" s="3">
        <v>0.187</v>
      </c>
      <c r="F15" s="3">
        <v>0.223</v>
      </c>
      <c r="G15" s="3">
        <v>0.23899999999999999</v>
      </c>
      <c r="H15" s="3">
        <v>0.27600000000000002</v>
      </c>
      <c r="I15" s="3">
        <v>0.29899999999999999</v>
      </c>
      <c r="J15" s="3">
        <v>0.30599999999999999</v>
      </c>
      <c r="K15" s="3">
        <v>0.312</v>
      </c>
      <c r="L15" s="41" t="s">
        <v>29</v>
      </c>
      <c r="W15" s="4"/>
      <c r="X15" s="4"/>
      <c r="Y15" s="4"/>
      <c r="Z15" s="4"/>
      <c r="AA15" s="4"/>
      <c r="AB15" s="4"/>
      <c r="AC15" s="4"/>
      <c r="AD15" s="4"/>
      <c r="AE15" s="4"/>
    </row>
    <row r="16" spans="1:31" x14ac:dyDescent="0.2">
      <c r="A16" s="50">
        <v>1957</v>
      </c>
      <c r="B16" s="3">
        <v>1.4999999999999999E-2</v>
      </c>
      <c r="C16" s="3">
        <v>0.05</v>
      </c>
      <c r="D16" s="3">
        <v>0.155</v>
      </c>
      <c r="E16" s="3">
        <v>0.187</v>
      </c>
      <c r="F16" s="3">
        <v>0.223</v>
      </c>
      <c r="G16" s="3">
        <v>0.23899999999999999</v>
      </c>
      <c r="H16" s="3">
        <v>0.27600000000000002</v>
      </c>
      <c r="I16" s="3">
        <v>0.29899999999999999</v>
      </c>
      <c r="J16" s="3">
        <v>0.30599999999999999</v>
      </c>
      <c r="K16" s="3">
        <v>0.312</v>
      </c>
      <c r="L16" s="41" t="s">
        <v>30</v>
      </c>
      <c r="W16" s="4"/>
      <c r="X16" s="4"/>
      <c r="Y16" s="4"/>
      <c r="Z16" s="4"/>
      <c r="AA16" s="4"/>
      <c r="AB16" s="4"/>
      <c r="AC16" s="4"/>
      <c r="AD16" s="4"/>
      <c r="AE16" s="4"/>
    </row>
    <row r="17" spans="1:31" x14ac:dyDescent="0.2">
      <c r="A17" s="50">
        <v>1958</v>
      </c>
      <c r="B17" s="3">
        <v>1.4999999999999999E-2</v>
      </c>
      <c r="C17" s="3">
        <v>0.05</v>
      </c>
      <c r="D17" s="3">
        <v>0.155</v>
      </c>
      <c r="E17" s="3">
        <v>0.187</v>
      </c>
      <c r="F17" s="3">
        <v>0.223</v>
      </c>
      <c r="G17" s="3">
        <v>0.23899999999999999</v>
      </c>
      <c r="H17" s="3">
        <v>0.27600000000000002</v>
      </c>
      <c r="I17" s="3">
        <v>0.29899999999999999</v>
      </c>
      <c r="J17" s="3">
        <v>0.30599999999999999</v>
      </c>
      <c r="K17" s="3">
        <v>0.312</v>
      </c>
      <c r="L17" s="41" t="s">
        <v>31</v>
      </c>
      <c r="W17" s="4"/>
      <c r="X17" s="4"/>
      <c r="Y17" s="4"/>
      <c r="Z17" s="4"/>
      <c r="AA17" s="4"/>
      <c r="AB17" s="4"/>
      <c r="AC17" s="4"/>
      <c r="AD17" s="4"/>
      <c r="AE17" s="4"/>
    </row>
    <row r="18" spans="1:31" x14ac:dyDescent="0.2">
      <c r="A18" s="50">
        <v>1959</v>
      </c>
      <c r="B18" s="3">
        <v>1.4999999999999999E-2</v>
      </c>
      <c r="C18" s="3">
        <v>0.05</v>
      </c>
      <c r="D18" s="3">
        <v>0.155</v>
      </c>
      <c r="E18" s="3">
        <v>0.187</v>
      </c>
      <c r="F18" s="3">
        <v>0.223</v>
      </c>
      <c r="G18" s="3">
        <v>0.23899999999999999</v>
      </c>
      <c r="H18" s="3">
        <v>0.27600000000000002</v>
      </c>
      <c r="I18" s="3">
        <v>0.29899999999999999</v>
      </c>
      <c r="J18" s="3">
        <v>0.30599999999999999</v>
      </c>
      <c r="K18" s="3">
        <v>0.312</v>
      </c>
      <c r="L18" s="41" t="s">
        <v>32</v>
      </c>
      <c r="W18" s="4"/>
      <c r="X18" s="4"/>
      <c r="Y18" s="4"/>
      <c r="Z18" s="4"/>
      <c r="AA18" s="4"/>
      <c r="AB18" s="4"/>
      <c r="AC18" s="4"/>
      <c r="AD18" s="4"/>
      <c r="AE18" s="4"/>
    </row>
    <row r="19" spans="1:31" x14ac:dyDescent="0.2">
      <c r="A19" s="50">
        <v>1960</v>
      </c>
      <c r="B19" s="3">
        <v>1.4999999999999999E-2</v>
      </c>
      <c r="C19" s="3">
        <v>0.05</v>
      </c>
      <c r="D19" s="3">
        <v>0.155</v>
      </c>
      <c r="E19" s="3">
        <v>0.187</v>
      </c>
      <c r="F19" s="3">
        <v>0.223</v>
      </c>
      <c r="G19" s="3">
        <v>0.23899999999999999</v>
      </c>
      <c r="H19" s="3">
        <v>0.27600000000000002</v>
      </c>
      <c r="I19" s="3">
        <v>0.29899999999999999</v>
      </c>
      <c r="J19" s="3">
        <v>0.30599999999999999</v>
      </c>
      <c r="K19" s="3">
        <v>0.312</v>
      </c>
      <c r="L19" s="41" t="s">
        <v>34</v>
      </c>
      <c r="W19" s="4"/>
      <c r="X19" s="4"/>
      <c r="Y19" s="4"/>
      <c r="Z19" s="4"/>
      <c r="AA19" s="4"/>
      <c r="AB19" s="4"/>
      <c r="AC19" s="4"/>
      <c r="AD19" s="4"/>
      <c r="AE19" s="4"/>
    </row>
    <row r="20" spans="1:31" x14ac:dyDescent="0.2">
      <c r="A20" s="50">
        <v>1961</v>
      </c>
      <c r="B20" s="3">
        <v>1.4999999999999999E-2</v>
      </c>
      <c r="C20" s="3">
        <v>0.05</v>
      </c>
      <c r="D20" s="3">
        <v>0.155</v>
      </c>
      <c r="E20" s="3">
        <v>0.187</v>
      </c>
      <c r="F20" s="3">
        <v>0.223</v>
      </c>
      <c r="G20" s="3">
        <v>0.23899999999999999</v>
      </c>
      <c r="H20" s="3">
        <v>0.27600000000000002</v>
      </c>
      <c r="I20" s="3">
        <v>0.29899999999999999</v>
      </c>
      <c r="J20" s="3">
        <v>0.30599999999999999</v>
      </c>
      <c r="K20" s="3">
        <v>0.312</v>
      </c>
      <c r="L20" s="41" t="s">
        <v>35</v>
      </c>
      <c r="W20" s="4"/>
      <c r="X20" s="4"/>
      <c r="Y20" s="4"/>
      <c r="Z20" s="4"/>
      <c r="AA20" s="4"/>
      <c r="AB20" s="4"/>
      <c r="AC20" s="4"/>
      <c r="AD20" s="4"/>
      <c r="AE20" s="4"/>
    </row>
    <row r="21" spans="1:31" x14ac:dyDescent="0.2">
      <c r="A21" s="50">
        <v>1962</v>
      </c>
      <c r="B21" s="3">
        <v>1.4999999999999999E-2</v>
      </c>
      <c r="C21" s="3">
        <v>0.05</v>
      </c>
      <c r="D21" s="3">
        <v>0.155</v>
      </c>
      <c r="E21" s="3">
        <v>0.187</v>
      </c>
      <c r="F21" s="3">
        <v>0.223</v>
      </c>
      <c r="G21" s="3">
        <v>0.23899999999999999</v>
      </c>
      <c r="H21" s="3">
        <v>0.27600000000000002</v>
      </c>
      <c r="I21" s="3">
        <v>0.29899999999999999</v>
      </c>
      <c r="J21" s="3">
        <v>0.30599999999999999</v>
      </c>
      <c r="K21" s="3">
        <v>0.312</v>
      </c>
      <c r="L21" s="41" t="s">
        <v>36</v>
      </c>
      <c r="W21" s="4"/>
      <c r="X21" s="4"/>
      <c r="Y21" s="4"/>
      <c r="Z21" s="4"/>
      <c r="AA21" s="4"/>
      <c r="AB21" s="4"/>
      <c r="AC21" s="4"/>
      <c r="AD21" s="4"/>
      <c r="AE21" s="4"/>
    </row>
    <row r="22" spans="1:31" x14ac:dyDescent="0.2">
      <c r="A22" s="50">
        <v>1963</v>
      </c>
      <c r="B22" s="3">
        <v>1.4999999999999999E-2</v>
      </c>
      <c r="C22" s="3">
        <v>0.05</v>
      </c>
      <c r="D22" s="3">
        <v>0.155</v>
      </c>
      <c r="E22" s="3">
        <v>0.187</v>
      </c>
      <c r="F22" s="3">
        <v>0.223</v>
      </c>
      <c r="G22" s="3">
        <v>0.23899999999999999</v>
      </c>
      <c r="H22" s="3">
        <v>0.27600000000000002</v>
      </c>
      <c r="I22" s="3">
        <v>0.29899999999999999</v>
      </c>
      <c r="J22" s="3">
        <v>0.30599999999999999</v>
      </c>
      <c r="K22" s="3">
        <v>0.312</v>
      </c>
      <c r="L22" s="41" t="s">
        <v>37</v>
      </c>
      <c r="W22" s="4"/>
      <c r="X22" s="4"/>
      <c r="Y22" s="4"/>
      <c r="Z22" s="4"/>
      <c r="AA22" s="4"/>
      <c r="AB22" s="4"/>
      <c r="AC22" s="4"/>
      <c r="AD22" s="4"/>
      <c r="AE22" s="4"/>
    </row>
    <row r="23" spans="1:31" x14ac:dyDescent="0.2">
      <c r="A23" s="50">
        <v>1964</v>
      </c>
      <c r="B23" s="3">
        <v>1.4999999999999999E-2</v>
      </c>
      <c r="C23" s="3">
        <v>0.05</v>
      </c>
      <c r="D23" s="3">
        <v>0.155</v>
      </c>
      <c r="E23" s="3">
        <v>0.187</v>
      </c>
      <c r="F23" s="3">
        <v>0.223</v>
      </c>
      <c r="G23" s="3">
        <v>0.23899999999999999</v>
      </c>
      <c r="H23" s="3">
        <v>0.27600000000000002</v>
      </c>
      <c r="I23" s="3">
        <v>0.29899999999999999</v>
      </c>
      <c r="J23" s="3">
        <v>0.30599999999999999</v>
      </c>
      <c r="K23" s="3">
        <v>0.312</v>
      </c>
      <c r="L23" s="41" t="s">
        <v>38</v>
      </c>
      <c r="W23" s="4"/>
      <c r="X23" s="4"/>
      <c r="Y23" s="4"/>
      <c r="Z23" s="4"/>
      <c r="AA23" s="4"/>
      <c r="AB23" s="4"/>
      <c r="AC23" s="4"/>
      <c r="AD23" s="4"/>
      <c r="AE23" s="4"/>
    </row>
    <row r="24" spans="1:31" x14ac:dyDescent="0.2">
      <c r="A24" s="50">
        <v>1965</v>
      </c>
      <c r="B24" s="3">
        <v>1.4999999999999999E-2</v>
      </c>
      <c r="C24" s="3">
        <v>0.05</v>
      </c>
      <c r="D24" s="3">
        <v>0.155</v>
      </c>
      <c r="E24" s="3">
        <v>0.187</v>
      </c>
      <c r="F24" s="3">
        <v>0.223</v>
      </c>
      <c r="G24" s="3">
        <v>0.23899999999999999</v>
      </c>
      <c r="H24" s="3">
        <v>0.27600000000000002</v>
      </c>
      <c r="I24" s="3">
        <v>0.29899999999999999</v>
      </c>
      <c r="J24" s="3">
        <v>0.30599999999999999</v>
      </c>
      <c r="K24" s="3">
        <v>0.312</v>
      </c>
      <c r="L24" s="41" t="s">
        <v>39</v>
      </c>
      <c r="W24" s="4"/>
      <c r="X24" s="4"/>
      <c r="Y24" s="4"/>
      <c r="Z24" s="4"/>
      <c r="AA24" s="4"/>
      <c r="AB24" s="4"/>
      <c r="AC24" s="4"/>
      <c r="AD24" s="4"/>
      <c r="AE24" s="4"/>
    </row>
    <row r="25" spans="1:31" x14ac:dyDescent="0.2">
      <c r="A25" s="50">
        <v>1966</v>
      </c>
      <c r="B25" s="3">
        <v>1.4999999999999999E-2</v>
      </c>
      <c r="C25" s="3">
        <v>0.05</v>
      </c>
      <c r="D25" s="3">
        <v>0.155</v>
      </c>
      <c r="E25" s="3">
        <v>0.187</v>
      </c>
      <c r="F25" s="3">
        <v>0.223</v>
      </c>
      <c r="G25" s="3">
        <v>0.23899999999999999</v>
      </c>
      <c r="H25" s="3">
        <v>0.27600000000000002</v>
      </c>
      <c r="I25" s="3">
        <v>0.29899999999999999</v>
      </c>
      <c r="J25" s="3">
        <v>0.30599999999999999</v>
      </c>
      <c r="K25" s="3">
        <v>0.312</v>
      </c>
      <c r="L25" s="41" t="s">
        <v>40</v>
      </c>
      <c r="W25" s="4"/>
      <c r="X25" s="4"/>
      <c r="Y25" s="4"/>
      <c r="Z25" s="4"/>
      <c r="AA25" s="4"/>
      <c r="AB25" s="4"/>
      <c r="AC25" s="4"/>
      <c r="AD25" s="4"/>
      <c r="AE25" s="4"/>
    </row>
    <row r="26" spans="1:31" x14ac:dyDescent="0.2">
      <c r="A26" s="50">
        <v>1967</v>
      </c>
      <c r="B26" s="3">
        <v>1.4999999999999999E-2</v>
      </c>
      <c r="C26" s="3">
        <v>0.05</v>
      </c>
      <c r="D26" s="3">
        <v>0.155</v>
      </c>
      <c r="E26" s="3">
        <v>0.187</v>
      </c>
      <c r="F26" s="3">
        <v>0.223</v>
      </c>
      <c r="G26" s="3">
        <v>0.23899999999999999</v>
      </c>
      <c r="H26" s="3">
        <v>0.27600000000000002</v>
      </c>
      <c r="I26" s="3">
        <v>0.29899999999999999</v>
      </c>
      <c r="J26" s="3">
        <v>0.30599999999999999</v>
      </c>
      <c r="K26" s="3">
        <v>0.312</v>
      </c>
      <c r="L26" s="41" t="s">
        <v>41</v>
      </c>
      <c r="W26" s="4"/>
      <c r="X26" s="4"/>
      <c r="Y26" s="4"/>
      <c r="Z26" s="4"/>
      <c r="AA26" s="4"/>
      <c r="AB26" s="4"/>
      <c r="AC26" s="4"/>
      <c r="AD26" s="4"/>
      <c r="AE26" s="4"/>
    </row>
    <row r="27" spans="1:31" x14ac:dyDescent="0.2">
      <c r="A27" s="50">
        <v>1968</v>
      </c>
      <c r="B27" s="3">
        <v>1.4999999999999999E-2</v>
      </c>
      <c r="C27" s="3">
        <v>0.05</v>
      </c>
      <c r="D27" s="3">
        <v>0.155</v>
      </c>
      <c r="E27" s="3">
        <v>0.187</v>
      </c>
      <c r="F27" s="3">
        <v>0.223</v>
      </c>
      <c r="G27" s="3">
        <v>0.23899999999999999</v>
      </c>
      <c r="H27" s="3">
        <v>0.27600000000000002</v>
      </c>
      <c r="I27" s="3">
        <v>0.29899999999999999</v>
      </c>
      <c r="J27" s="3">
        <v>0.30599999999999999</v>
      </c>
      <c r="K27" s="3">
        <v>0.312</v>
      </c>
      <c r="L27" s="41" t="s">
        <v>42</v>
      </c>
      <c r="W27" s="4"/>
      <c r="X27" s="4"/>
      <c r="Y27" s="4"/>
      <c r="Z27" s="4"/>
      <c r="AA27" s="4"/>
      <c r="AB27" s="4"/>
      <c r="AC27" s="4"/>
      <c r="AD27" s="4"/>
      <c r="AE27" s="4"/>
    </row>
    <row r="28" spans="1:31" x14ac:dyDescent="0.2">
      <c r="A28" s="50">
        <v>1969</v>
      </c>
      <c r="B28" s="3">
        <v>1.4999999999999999E-2</v>
      </c>
      <c r="C28" s="3">
        <v>0.05</v>
      </c>
      <c r="D28" s="3">
        <v>0.155</v>
      </c>
      <c r="E28" s="3">
        <v>0.187</v>
      </c>
      <c r="F28" s="3">
        <v>0.223</v>
      </c>
      <c r="G28" s="3">
        <v>0.23899999999999999</v>
      </c>
      <c r="H28" s="3">
        <v>0.27600000000000002</v>
      </c>
      <c r="I28" s="3">
        <v>0.29899999999999999</v>
      </c>
      <c r="J28" s="3">
        <v>0.30599999999999999</v>
      </c>
      <c r="K28" s="3">
        <v>0.312</v>
      </c>
      <c r="L28" s="41" t="s">
        <v>43</v>
      </c>
      <c r="W28" s="4"/>
      <c r="X28" s="4"/>
      <c r="Y28" s="4"/>
      <c r="Z28" s="4"/>
      <c r="AA28" s="4"/>
      <c r="AB28" s="4"/>
      <c r="AC28" s="4"/>
      <c r="AD28" s="4"/>
      <c r="AE28" s="4"/>
    </row>
    <row r="29" spans="1:31" x14ac:dyDescent="0.2">
      <c r="A29" s="50">
        <v>1970</v>
      </c>
      <c r="B29" s="3">
        <v>1.4999999999999999E-2</v>
      </c>
      <c r="C29" s="3">
        <v>0.05</v>
      </c>
      <c r="D29" s="3">
        <v>0.155</v>
      </c>
      <c r="E29" s="3">
        <v>0.187</v>
      </c>
      <c r="F29" s="3">
        <v>0.223</v>
      </c>
      <c r="G29" s="3">
        <v>0.23899999999999999</v>
      </c>
      <c r="H29" s="3">
        <v>0.27600000000000002</v>
      </c>
      <c r="I29" s="3">
        <v>0.29899999999999999</v>
      </c>
      <c r="J29" s="3">
        <v>0.30599999999999999</v>
      </c>
      <c r="K29" s="3">
        <v>0.312</v>
      </c>
      <c r="L29" s="41" t="s">
        <v>44</v>
      </c>
      <c r="W29" s="4"/>
      <c r="X29" s="4"/>
      <c r="Y29" s="4"/>
      <c r="Z29" s="4"/>
      <c r="AA29" s="4"/>
      <c r="AB29" s="4"/>
      <c r="AC29" s="4"/>
      <c r="AD29" s="4"/>
      <c r="AE29" s="4"/>
    </row>
    <row r="30" spans="1:31" x14ac:dyDescent="0.2">
      <c r="A30" s="50">
        <v>1971</v>
      </c>
      <c r="B30" s="3">
        <v>1.4999999999999999E-2</v>
      </c>
      <c r="C30" s="3">
        <v>0.05</v>
      </c>
      <c r="D30" s="3">
        <v>0.155</v>
      </c>
      <c r="E30" s="3">
        <v>0.187</v>
      </c>
      <c r="F30" s="3">
        <v>0.223</v>
      </c>
      <c r="G30" s="3">
        <v>0.23899999999999999</v>
      </c>
      <c r="H30" s="3">
        <v>0.27600000000000002</v>
      </c>
      <c r="I30" s="3">
        <v>0.29899999999999999</v>
      </c>
      <c r="J30" s="3">
        <v>0.30599999999999999</v>
      </c>
      <c r="K30" s="3">
        <v>0.312</v>
      </c>
      <c r="L30" s="41" t="s">
        <v>45</v>
      </c>
      <c r="W30" s="4"/>
      <c r="X30" s="4"/>
      <c r="Y30" s="4"/>
      <c r="Z30" s="4"/>
      <c r="AA30" s="4"/>
      <c r="AB30" s="4"/>
      <c r="AC30" s="4"/>
      <c r="AD30" s="4"/>
      <c r="AE30" s="4"/>
    </row>
    <row r="31" spans="1:31" x14ac:dyDescent="0.2">
      <c r="A31" s="50">
        <v>1972</v>
      </c>
      <c r="B31" s="3">
        <v>1.4999999999999999E-2</v>
      </c>
      <c r="C31" s="3">
        <v>0.05</v>
      </c>
      <c r="D31" s="3">
        <v>0.155</v>
      </c>
      <c r="E31" s="3">
        <v>0.187</v>
      </c>
      <c r="F31" s="3">
        <v>0.223</v>
      </c>
      <c r="G31" s="3">
        <v>0.23899999999999999</v>
      </c>
      <c r="H31" s="3">
        <v>0.27600000000000002</v>
      </c>
      <c r="I31" s="3">
        <v>0.29899999999999999</v>
      </c>
      <c r="J31" s="3">
        <v>0.30599999999999999</v>
      </c>
      <c r="K31" s="3">
        <v>0.312</v>
      </c>
      <c r="L31" s="41" t="s">
        <v>46</v>
      </c>
      <c r="W31" s="4"/>
      <c r="X31" s="4"/>
      <c r="Y31" s="4"/>
      <c r="Z31" s="4"/>
      <c r="AA31" s="4"/>
      <c r="AB31" s="4"/>
      <c r="AC31" s="4"/>
      <c r="AD31" s="4"/>
      <c r="AE31" s="4"/>
    </row>
    <row r="32" spans="1:31" x14ac:dyDescent="0.2">
      <c r="A32" s="50">
        <v>1973</v>
      </c>
      <c r="B32" s="3">
        <v>1.4999999999999999E-2</v>
      </c>
      <c r="C32" s="3">
        <v>0.05</v>
      </c>
      <c r="D32" s="3">
        <v>0.155</v>
      </c>
      <c r="E32" s="3">
        <v>0.187</v>
      </c>
      <c r="F32" s="3">
        <v>0.223</v>
      </c>
      <c r="G32" s="3">
        <v>0.23899999999999999</v>
      </c>
      <c r="H32" s="3">
        <v>0.27600000000000002</v>
      </c>
      <c r="I32" s="3">
        <v>0.29899999999999999</v>
      </c>
      <c r="J32" s="3">
        <v>0.30599999999999999</v>
      </c>
      <c r="K32" s="3">
        <v>0.312</v>
      </c>
      <c r="L32" s="41" t="s">
        <v>47</v>
      </c>
      <c r="W32" s="4"/>
      <c r="X32" s="4"/>
      <c r="Y32" s="4"/>
      <c r="Z32" s="4"/>
      <c r="AA32" s="4"/>
      <c r="AB32" s="4"/>
      <c r="AC32" s="4"/>
      <c r="AD32" s="4"/>
      <c r="AE32" s="4"/>
    </row>
    <row r="33" spans="1:31" x14ac:dyDescent="0.2">
      <c r="A33" s="50">
        <v>1974</v>
      </c>
      <c r="B33" s="3">
        <v>1.4999999999999999E-2</v>
      </c>
      <c r="C33" s="3">
        <v>0.05</v>
      </c>
      <c r="D33" s="3">
        <v>0.155</v>
      </c>
      <c r="E33" s="3">
        <v>0.187</v>
      </c>
      <c r="F33" s="3">
        <v>0.223</v>
      </c>
      <c r="G33" s="3">
        <v>0.23899999999999999</v>
      </c>
      <c r="H33" s="3">
        <v>0.27600000000000002</v>
      </c>
      <c r="I33" s="3">
        <v>0.29899999999999999</v>
      </c>
      <c r="J33" s="3">
        <v>0.30599999999999999</v>
      </c>
      <c r="K33" s="3">
        <v>0.312</v>
      </c>
      <c r="L33" s="41" t="s">
        <v>48</v>
      </c>
      <c r="W33" s="4"/>
      <c r="X33" s="4"/>
      <c r="Y33" s="4"/>
      <c r="Z33" s="4"/>
      <c r="AA33" s="4"/>
      <c r="AB33" s="4"/>
      <c r="AC33" s="4"/>
      <c r="AD33" s="4"/>
      <c r="AE33" s="4"/>
    </row>
    <row r="34" spans="1:31" x14ac:dyDescent="0.2">
      <c r="A34" s="50">
        <v>1975</v>
      </c>
      <c r="B34" s="3">
        <v>1.4999999999999999E-2</v>
      </c>
      <c r="C34" s="3">
        <v>0.05</v>
      </c>
      <c r="D34" s="3">
        <v>0.155</v>
      </c>
      <c r="E34" s="3">
        <v>0.187</v>
      </c>
      <c r="F34" s="3">
        <v>0.223</v>
      </c>
      <c r="G34" s="3">
        <v>0.23899999999999999</v>
      </c>
      <c r="H34" s="3">
        <v>0.27600000000000002</v>
      </c>
      <c r="I34" s="3">
        <v>0.29899999999999999</v>
      </c>
      <c r="J34" s="3">
        <v>0.30599999999999999</v>
      </c>
      <c r="K34" s="3">
        <v>0.312</v>
      </c>
      <c r="L34" s="41" t="s">
        <v>49</v>
      </c>
      <c r="W34" s="4"/>
      <c r="X34" s="4"/>
      <c r="Y34" s="4"/>
      <c r="Z34" s="4"/>
      <c r="AA34" s="4"/>
      <c r="AB34" s="4"/>
      <c r="AC34" s="4"/>
      <c r="AD34" s="4"/>
      <c r="AE34" s="4"/>
    </row>
    <row r="35" spans="1:31" x14ac:dyDescent="0.2">
      <c r="A35" s="50">
        <v>1976</v>
      </c>
      <c r="B35" s="3">
        <v>1.4999999999999999E-2</v>
      </c>
      <c r="C35" s="3">
        <v>0.05</v>
      </c>
      <c r="D35" s="3">
        <v>0.155</v>
      </c>
      <c r="E35" s="3">
        <v>0.187</v>
      </c>
      <c r="F35" s="3">
        <v>0.223</v>
      </c>
      <c r="G35" s="3">
        <v>0.23899999999999999</v>
      </c>
      <c r="H35" s="3">
        <v>0.27600000000000002</v>
      </c>
      <c r="I35" s="3">
        <v>0.29899999999999999</v>
      </c>
      <c r="J35" s="3">
        <v>0.30599999999999999</v>
      </c>
      <c r="K35" s="3">
        <v>0.312</v>
      </c>
      <c r="L35" s="41" t="s">
        <v>50</v>
      </c>
      <c r="W35" s="4"/>
      <c r="X35" s="4"/>
      <c r="Y35" s="4"/>
      <c r="Z35" s="4"/>
      <c r="AA35" s="4"/>
      <c r="AB35" s="4"/>
      <c r="AC35" s="4"/>
      <c r="AD35" s="4"/>
      <c r="AE35" s="4"/>
    </row>
    <row r="36" spans="1:31" x14ac:dyDescent="0.2">
      <c r="A36" s="50">
        <v>1977</v>
      </c>
      <c r="B36" s="3">
        <v>1.4999999999999999E-2</v>
      </c>
      <c r="C36" s="3">
        <v>0.05</v>
      </c>
      <c r="D36" s="3">
        <v>0.155</v>
      </c>
      <c r="E36" s="3">
        <v>0.187</v>
      </c>
      <c r="F36" s="3">
        <v>0.223</v>
      </c>
      <c r="G36" s="3">
        <v>0.23899999999999999</v>
      </c>
      <c r="H36" s="3">
        <v>0.27600000000000002</v>
      </c>
      <c r="I36" s="3">
        <v>0.29899999999999999</v>
      </c>
      <c r="J36" s="3">
        <v>0.30599999999999999</v>
      </c>
      <c r="K36" s="3">
        <v>0.312</v>
      </c>
      <c r="L36" s="41" t="s">
        <v>51</v>
      </c>
      <c r="W36" s="4"/>
      <c r="X36" s="4"/>
      <c r="Y36" s="4"/>
      <c r="Z36" s="4"/>
      <c r="AA36" s="4"/>
      <c r="AB36" s="4"/>
      <c r="AC36" s="4"/>
      <c r="AD36" s="4"/>
      <c r="AE36" s="4"/>
    </row>
    <row r="37" spans="1:31" x14ac:dyDescent="0.2">
      <c r="A37" s="50">
        <v>1978</v>
      </c>
      <c r="B37" s="3">
        <v>1.4999999999999999E-2</v>
      </c>
      <c r="C37" s="3">
        <v>0.05</v>
      </c>
      <c r="D37" s="3">
        <v>0.155</v>
      </c>
      <c r="E37" s="3">
        <v>0.187</v>
      </c>
      <c r="F37" s="3">
        <v>0.223</v>
      </c>
      <c r="G37" s="3">
        <v>0.23899999999999999</v>
      </c>
      <c r="H37" s="3">
        <v>0.27600000000000002</v>
      </c>
      <c r="I37" s="3">
        <v>0.29899999999999999</v>
      </c>
      <c r="J37" s="3">
        <v>0.30599999999999999</v>
      </c>
      <c r="K37" s="3">
        <v>0.312</v>
      </c>
      <c r="W37" s="4"/>
      <c r="X37" s="4"/>
      <c r="Y37" s="4"/>
      <c r="Z37" s="4"/>
      <c r="AA37" s="4"/>
      <c r="AB37" s="4"/>
      <c r="AC37" s="4"/>
      <c r="AD37" s="4"/>
      <c r="AE37" s="4"/>
    </row>
    <row r="38" spans="1:31" x14ac:dyDescent="0.2">
      <c r="A38" s="50">
        <v>1979</v>
      </c>
      <c r="B38" s="3">
        <v>1.4999999999999999E-2</v>
      </c>
      <c r="C38" s="3">
        <v>0.05</v>
      </c>
      <c r="D38" s="3">
        <v>0.155</v>
      </c>
      <c r="E38" s="3">
        <v>0.187</v>
      </c>
      <c r="F38" s="3">
        <v>0.223</v>
      </c>
      <c r="G38" s="3">
        <v>0.23899999999999999</v>
      </c>
      <c r="H38" s="3">
        <v>0.27600000000000002</v>
      </c>
      <c r="I38" s="3">
        <v>0.29899999999999999</v>
      </c>
      <c r="J38" s="3">
        <v>0.30599999999999999</v>
      </c>
      <c r="K38" s="3">
        <v>0.312</v>
      </c>
      <c r="W38" s="4"/>
      <c r="X38" s="4"/>
      <c r="Y38" s="4"/>
      <c r="Z38" s="4"/>
      <c r="AA38" s="4"/>
      <c r="AB38" s="4"/>
      <c r="AC38" s="4"/>
      <c r="AD38" s="4"/>
      <c r="AE38" s="4"/>
    </row>
    <row r="39" spans="1:31" x14ac:dyDescent="0.2">
      <c r="A39" s="50">
        <v>1980</v>
      </c>
      <c r="B39" s="3">
        <v>1.4999999999999999E-2</v>
      </c>
      <c r="C39" s="3">
        <v>0.05</v>
      </c>
      <c r="D39" s="3">
        <v>0.155</v>
      </c>
      <c r="E39" s="3">
        <v>0.187</v>
      </c>
      <c r="F39" s="3">
        <v>0.223</v>
      </c>
      <c r="G39" s="3">
        <v>0.23899999999999999</v>
      </c>
      <c r="H39" s="3">
        <v>0.27600000000000002</v>
      </c>
      <c r="I39" s="3">
        <v>0.29899999999999999</v>
      </c>
      <c r="J39" s="3">
        <v>0.30599999999999999</v>
      </c>
      <c r="K39" s="3">
        <v>0.312</v>
      </c>
      <c r="W39" s="4"/>
      <c r="X39" s="4"/>
      <c r="Y39" s="4"/>
      <c r="Z39" s="4"/>
      <c r="AA39" s="4"/>
      <c r="AB39" s="4"/>
      <c r="AC39" s="4"/>
      <c r="AD39" s="4"/>
      <c r="AE39" s="4"/>
    </row>
    <row r="40" spans="1:31" x14ac:dyDescent="0.2">
      <c r="A40" s="50">
        <v>1981</v>
      </c>
      <c r="B40" s="3">
        <v>1.4999999999999999E-2</v>
      </c>
      <c r="C40" s="3">
        <v>0.05</v>
      </c>
      <c r="D40" s="3">
        <v>0.155</v>
      </c>
      <c r="E40" s="3">
        <v>0.187</v>
      </c>
      <c r="F40" s="3">
        <v>0.223</v>
      </c>
      <c r="G40" s="3">
        <v>0.23899999999999999</v>
      </c>
      <c r="H40" s="3">
        <v>0.27600000000000002</v>
      </c>
      <c r="I40" s="3">
        <v>0.29899999999999999</v>
      </c>
      <c r="J40" s="3">
        <v>0.30599999999999999</v>
      </c>
      <c r="K40" s="3">
        <v>0.312</v>
      </c>
      <c r="W40" s="4"/>
      <c r="X40" s="4"/>
      <c r="Y40" s="4"/>
      <c r="Z40" s="4"/>
      <c r="AA40" s="4"/>
      <c r="AB40" s="4"/>
      <c r="AC40" s="4"/>
      <c r="AD40" s="4"/>
      <c r="AE40" s="4"/>
    </row>
    <row r="41" spans="1:31" x14ac:dyDescent="0.2">
      <c r="A41" s="50">
        <v>1982</v>
      </c>
      <c r="B41" s="3">
        <v>1.4999999999999999E-2</v>
      </c>
      <c r="C41" s="3">
        <v>0.05</v>
      </c>
      <c r="D41" s="3">
        <v>0.155</v>
      </c>
      <c r="E41" s="3">
        <v>0.187</v>
      </c>
      <c r="F41" s="3">
        <v>0.223</v>
      </c>
      <c r="G41" s="3">
        <v>0.23899999999999999</v>
      </c>
      <c r="H41" s="3">
        <v>0.27600000000000002</v>
      </c>
      <c r="I41" s="3">
        <v>0.29899999999999999</v>
      </c>
      <c r="J41" s="3">
        <v>0.30599999999999999</v>
      </c>
      <c r="K41" s="3">
        <v>0.312</v>
      </c>
      <c r="W41" s="4"/>
      <c r="X41" s="4"/>
      <c r="Y41" s="4"/>
      <c r="Z41" s="4"/>
      <c r="AA41" s="4"/>
      <c r="AB41" s="4"/>
      <c r="AC41" s="4"/>
      <c r="AD41" s="4"/>
      <c r="AE41" s="4"/>
    </row>
    <row r="42" spans="1:31" x14ac:dyDescent="0.2">
      <c r="A42" s="50">
        <v>1983</v>
      </c>
      <c r="B42" s="3">
        <v>1.4999999999999999E-2</v>
      </c>
      <c r="C42" s="3">
        <v>0.05</v>
      </c>
      <c r="D42" s="3">
        <v>0.155</v>
      </c>
      <c r="E42" s="3">
        <v>0.187</v>
      </c>
      <c r="F42" s="3">
        <v>0.223</v>
      </c>
      <c r="G42" s="3">
        <v>0.23899999999999999</v>
      </c>
      <c r="H42" s="3">
        <v>0.27600000000000002</v>
      </c>
      <c r="I42" s="3">
        <v>0.29899999999999999</v>
      </c>
      <c r="J42" s="3">
        <v>0.30599999999999999</v>
      </c>
      <c r="K42" s="3">
        <v>0.312</v>
      </c>
      <c r="M42" s="1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4"/>
      <c r="Z42" s="4"/>
      <c r="AA42" s="4"/>
      <c r="AB42" s="4"/>
      <c r="AC42" s="4"/>
      <c r="AD42" s="4"/>
      <c r="AE42" s="4"/>
    </row>
    <row r="43" spans="1:31" x14ac:dyDescent="0.2">
      <c r="A43" s="50">
        <v>1984</v>
      </c>
      <c r="B43" s="3">
        <v>1.4999999999999999E-2</v>
      </c>
      <c r="C43" s="3">
        <v>0.05</v>
      </c>
      <c r="D43" s="3">
        <v>0.155</v>
      </c>
      <c r="E43" s="3">
        <v>0.187</v>
      </c>
      <c r="F43" s="3">
        <v>0.223</v>
      </c>
      <c r="G43" s="3">
        <v>0.23899999999999999</v>
      </c>
      <c r="H43" s="3">
        <v>0.27600000000000002</v>
      </c>
      <c r="I43" s="3">
        <v>0.29899999999999999</v>
      </c>
      <c r="J43" s="3">
        <v>0.30599999999999999</v>
      </c>
      <c r="K43" s="3">
        <v>0.312</v>
      </c>
      <c r="M43" s="1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4"/>
      <c r="Z43" s="4"/>
      <c r="AA43" s="4"/>
      <c r="AB43" s="4"/>
      <c r="AC43" s="4"/>
      <c r="AD43" s="4"/>
      <c r="AE43" s="4"/>
    </row>
    <row r="44" spans="1:31" x14ac:dyDescent="0.2">
      <c r="A44" s="50">
        <v>1985</v>
      </c>
      <c r="B44" s="3">
        <v>1.4999999999999999E-2</v>
      </c>
      <c r="C44" s="3">
        <v>0.05</v>
      </c>
      <c r="D44" s="3">
        <v>0.155</v>
      </c>
      <c r="E44" s="3">
        <v>0.187</v>
      </c>
      <c r="F44" s="3">
        <v>0.223</v>
      </c>
      <c r="G44" s="3">
        <v>0.23899999999999999</v>
      </c>
      <c r="H44" s="3">
        <v>0.27600000000000002</v>
      </c>
      <c r="I44" s="3">
        <v>0.29899999999999999</v>
      </c>
      <c r="J44" s="3">
        <v>0.30599999999999999</v>
      </c>
      <c r="K44" s="3">
        <v>0.312</v>
      </c>
      <c r="M44" s="1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4"/>
      <c r="Z44" s="4"/>
      <c r="AA44" s="4"/>
      <c r="AB44" s="4"/>
      <c r="AC44" s="4"/>
      <c r="AD44" s="4"/>
      <c r="AE44" s="4"/>
    </row>
    <row r="45" spans="1:31" x14ac:dyDescent="0.2">
      <c r="A45" s="50">
        <v>1986</v>
      </c>
      <c r="B45" s="3">
        <v>1.4999999999999999E-2</v>
      </c>
      <c r="C45" s="3">
        <v>0.05</v>
      </c>
      <c r="D45" s="3">
        <v>0.155</v>
      </c>
      <c r="E45" s="3">
        <v>0.187</v>
      </c>
      <c r="F45" s="3">
        <v>0.223</v>
      </c>
      <c r="G45" s="3">
        <v>0.23899999999999999</v>
      </c>
      <c r="H45" s="3">
        <v>0.27600000000000002</v>
      </c>
      <c r="I45" s="3">
        <v>0.29899999999999999</v>
      </c>
      <c r="J45" s="3">
        <v>0.30599999999999999</v>
      </c>
      <c r="K45" s="3">
        <v>0.312</v>
      </c>
      <c r="M45" s="1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4"/>
      <c r="Z45" s="4"/>
      <c r="AA45" s="4"/>
      <c r="AB45" s="4"/>
      <c r="AC45" s="4"/>
      <c r="AD45" s="4"/>
      <c r="AE45" s="4"/>
    </row>
    <row r="46" spans="1:31" x14ac:dyDescent="0.2">
      <c r="A46" s="50">
        <v>1987</v>
      </c>
      <c r="B46" s="3">
        <v>1.7000000000000001E-2</v>
      </c>
      <c r="C46" s="3">
        <v>5.7000000000000002E-2</v>
      </c>
      <c r="D46" s="3">
        <v>0.15</v>
      </c>
      <c r="E46" s="3">
        <v>0.19</v>
      </c>
      <c r="F46" s="3">
        <v>0.23</v>
      </c>
      <c r="G46" s="3">
        <v>0.24299999999999999</v>
      </c>
      <c r="H46" s="3">
        <v>0.28199999999999997</v>
      </c>
      <c r="I46" s="3">
        <v>0.311</v>
      </c>
      <c r="J46" s="3">
        <v>0.33800000000000002</v>
      </c>
      <c r="K46" s="3">
        <v>0.34699999999999998</v>
      </c>
      <c r="M46" s="1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4"/>
      <c r="Z46" s="4"/>
      <c r="AA46" s="4"/>
      <c r="AB46" s="4"/>
      <c r="AC46" s="4"/>
      <c r="AD46" s="4"/>
      <c r="AE46" s="4"/>
    </row>
    <row r="47" spans="1:31" x14ac:dyDescent="0.2">
      <c r="A47" s="50">
        <v>1988</v>
      </c>
      <c r="B47" s="3">
        <v>1.6E-2</v>
      </c>
      <c r="C47" s="3">
        <v>5.6000000000000001E-2</v>
      </c>
      <c r="D47" s="3">
        <v>0.13800000000000001</v>
      </c>
      <c r="E47" s="3">
        <v>0.187</v>
      </c>
      <c r="F47" s="3">
        <v>0.23200000000000001</v>
      </c>
      <c r="G47" s="3">
        <v>0.247</v>
      </c>
      <c r="H47" s="3">
        <v>0.27500000000000002</v>
      </c>
      <c r="I47" s="3">
        <v>0.32100000000000001</v>
      </c>
      <c r="J47" s="3">
        <v>0.34100000000000003</v>
      </c>
      <c r="K47" s="3">
        <v>0.36499999999999999</v>
      </c>
      <c r="M47" s="1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4"/>
      <c r="Z47" s="4"/>
      <c r="AA47" s="4"/>
      <c r="AB47" s="4"/>
      <c r="AC47" s="4"/>
      <c r="AD47" s="4"/>
      <c r="AE47" s="4"/>
    </row>
    <row r="48" spans="1:31" x14ac:dyDescent="0.2">
      <c r="A48" s="50">
        <v>1989</v>
      </c>
      <c r="B48" s="3">
        <v>1.4E-2</v>
      </c>
      <c r="C48" s="3">
        <v>6.0999999999999999E-2</v>
      </c>
      <c r="D48" s="3">
        <v>0.13</v>
      </c>
      <c r="E48" s="3">
        <v>0.183</v>
      </c>
      <c r="F48" s="3">
        <v>0.23200000000000001</v>
      </c>
      <c r="G48" s="3">
        <v>0.252</v>
      </c>
      <c r="H48" s="3">
        <v>0.27300000000000002</v>
      </c>
      <c r="I48" s="3">
        <v>0.315</v>
      </c>
      <c r="J48" s="3">
        <v>0.33100000000000002</v>
      </c>
      <c r="K48" s="3">
        <v>0.39200000000000002</v>
      </c>
      <c r="M48" s="1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4"/>
      <c r="Z48" s="4"/>
      <c r="AA48" s="4"/>
      <c r="AB48" s="4"/>
      <c r="AC48" s="4"/>
      <c r="AD48" s="4"/>
      <c r="AE48" s="4"/>
    </row>
    <row r="49" spans="1:31" x14ac:dyDescent="0.2">
      <c r="A49" s="50">
        <v>1990</v>
      </c>
      <c r="B49" s="3">
        <v>8.9999999999999993E-3</v>
      </c>
      <c r="C49" s="3">
        <v>0.05</v>
      </c>
      <c r="D49" s="3">
        <v>0.122</v>
      </c>
      <c r="E49" s="3">
        <v>0.17</v>
      </c>
      <c r="F49" s="3">
        <v>0.21199999999999999</v>
      </c>
      <c r="G49" s="3">
        <v>0.23</v>
      </c>
      <c r="H49" s="3">
        <v>0.24199999999999999</v>
      </c>
      <c r="I49" s="3">
        <v>0.27500000000000002</v>
      </c>
      <c r="J49" s="3">
        <v>0.26800000000000002</v>
      </c>
      <c r="K49" s="3">
        <v>0.34300000000000003</v>
      </c>
      <c r="M49" s="1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4"/>
      <c r="Z49" s="4"/>
      <c r="AA49" s="4"/>
      <c r="AB49" s="4"/>
      <c r="AC49" s="4"/>
      <c r="AD49" s="4"/>
      <c r="AE49" s="4"/>
    </row>
    <row r="50" spans="1:31" x14ac:dyDescent="0.2">
      <c r="A50" s="50">
        <v>1991</v>
      </c>
      <c r="B50" s="3">
        <v>8.0000000000000002E-3</v>
      </c>
      <c r="C50" s="3">
        <v>4.8000000000000001E-2</v>
      </c>
      <c r="D50" s="3">
        <v>0.123</v>
      </c>
      <c r="E50" s="3">
        <v>0.16600000000000001</v>
      </c>
      <c r="F50" s="3">
        <v>0.20799999999999999</v>
      </c>
      <c r="G50" s="3">
        <v>0.22900000000000001</v>
      </c>
      <c r="H50" s="3">
        <v>0.248</v>
      </c>
      <c r="I50" s="3">
        <v>0.25900000000000001</v>
      </c>
      <c r="J50" s="3">
        <v>0.26300000000000001</v>
      </c>
      <c r="K50" s="3">
        <v>0.32500000000000001</v>
      </c>
      <c r="M50" s="1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4"/>
      <c r="Z50" s="4"/>
      <c r="AA50" s="4"/>
      <c r="AB50" s="4"/>
      <c r="AC50" s="4"/>
      <c r="AD50" s="4"/>
      <c r="AE50" s="4"/>
    </row>
    <row r="51" spans="1:31" x14ac:dyDescent="0.2">
      <c r="A51" s="50">
        <v>1992</v>
      </c>
      <c r="B51" s="3">
        <v>8.9999999999999993E-3</v>
      </c>
      <c r="C51" s="3">
        <v>4.3999999999999997E-2</v>
      </c>
      <c r="D51" s="3">
        <v>0.122</v>
      </c>
      <c r="E51" s="3">
        <v>0.16500000000000001</v>
      </c>
      <c r="F51" s="3">
        <v>0.20499999999999999</v>
      </c>
      <c r="G51" s="3">
        <v>0.22800000000000001</v>
      </c>
      <c r="H51" s="3">
        <v>0.252</v>
      </c>
      <c r="I51" s="3">
        <v>0.26100000000000001</v>
      </c>
      <c r="J51" s="3">
        <v>0.27700000000000002</v>
      </c>
      <c r="K51" s="3">
        <v>0.315</v>
      </c>
      <c r="M51" s="1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4"/>
      <c r="Z51" s="4"/>
      <c r="AA51" s="4"/>
      <c r="AB51" s="4"/>
      <c r="AC51" s="4"/>
      <c r="AD51" s="4"/>
      <c r="AE51" s="4"/>
    </row>
    <row r="52" spans="1:31" x14ac:dyDescent="0.2">
      <c r="A52" s="50">
        <v>1993</v>
      </c>
      <c r="B52" s="3">
        <v>1.2E-2</v>
      </c>
      <c r="C52" s="3">
        <v>5.1999999999999998E-2</v>
      </c>
      <c r="D52" s="3">
        <v>0.126</v>
      </c>
      <c r="E52" s="3">
        <v>0.17399999999999999</v>
      </c>
      <c r="F52" s="3">
        <v>0.21199999999999999</v>
      </c>
      <c r="G52" s="3">
        <v>0.24399999999999999</v>
      </c>
      <c r="H52" s="3">
        <v>0.27100000000000002</v>
      </c>
      <c r="I52" s="3">
        <v>0.28399999999999997</v>
      </c>
      <c r="J52" s="3">
        <v>0.29799999999999999</v>
      </c>
      <c r="K52" s="3">
        <v>0.33100000000000002</v>
      </c>
      <c r="M52" s="1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4"/>
      <c r="Z52" s="4"/>
      <c r="AA52" s="4"/>
      <c r="AB52" s="4"/>
      <c r="AC52" s="4"/>
      <c r="AD52" s="4"/>
      <c r="AE52" s="4"/>
    </row>
    <row r="53" spans="1:31" x14ac:dyDescent="0.2">
      <c r="A53" s="50">
        <v>1994</v>
      </c>
      <c r="B53" s="3">
        <v>1.0999999999999999E-2</v>
      </c>
      <c r="C53" s="3">
        <v>5.8999999999999997E-2</v>
      </c>
      <c r="D53" s="3">
        <v>0.13900000000000001</v>
      </c>
      <c r="E53" s="3">
        <v>0.184</v>
      </c>
      <c r="F53" s="3">
        <v>0.21199999999999999</v>
      </c>
      <c r="G53" s="3">
        <v>0.23899999999999999</v>
      </c>
      <c r="H53" s="3">
        <v>0.26500000000000001</v>
      </c>
      <c r="I53" s="3">
        <v>0.28000000000000003</v>
      </c>
      <c r="J53" s="3">
        <v>0.3</v>
      </c>
      <c r="K53" s="3">
        <v>0.32800000000000001</v>
      </c>
      <c r="M53" s="1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4"/>
      <c r="Z53" s="4"/>
      <c r="AA53" s="4"/>
      <c r="AB53" s="4"/>
      <c r="AC53" s="4"/>
      <c r="AD53" s="4"/>
      <c r="AE53" s="4"/>
    </row>
    <row r="54" spans="1:31" x14ac:dyDescent="0.2">
      <c r="A54" s="50">
        <v>1995</v>
      </c>
      <c r="B54" s="3">
        <v>0.01</v>
      </c>
      <c r="C54" s="3">
        <v>6.4000000000000001E-2</v>
      </c>
      <c r="D54" s="3">
        <v>0.13700000000000001</v>
      </c>
      <c r="E54" s="3">
        <v>0.19400000000000001</v>
      </c>
      <c r="F54" s="3">
        <v>0.214</v>
      </c>
      <c r="G54" s="3">
        <v>0.23400000000000001</v>
      </c>
      <c r="H54" s="3">
        <v>0.253</v>
      </c>
      <c r="I54" s="3">
        <v>0.27200000000000002</v>
      </c>
      <c r="J54" s="3">
        <v>0.29099999999999998</v>
      </c>
      <c r="K54" s="3">
        <v>0.312</v>
      </c>
      <c r="M54" s="1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4"/>
      <c r="Z54" s="4"/>
      <c r="AA54" s="4"/>
      <c r="AB54" s="4"/>
      <c r="AC54" s="4"/>
      <c r="AD54" s="4"/>
      <c r="AE54" s="4"/>
    </row>
    <row r="55" spans="1:31" x14ac:dyDescent="0.2">
      <c r="A55" s="50">
        <v>1996</v>
      </c>
      <c r="B55" s="3">
        <v>6.0000000000000001E-3</v>
      </c>
      <c r="C55" s="3">
        <v>6.0999999999999999E-2</v>
      </c>
      <c r="D55" s="3">
        <v>0.13400000000000001</v>
      </c>
      <c r="E55" s="3">
        <v>0.184</v>
      </c>
      <c r="F55" s="3">
        <v>0.21299999999999999</v>
      </c>
      <c r="G55" s="3">
        <v>0.23400000000000001</v>
      </c>
      <c r="H55" s="3">
        <v>0.26200000000000001</v>
      </c>
      <c r="I55" s="3">
        <v>0.27300000000000002</v>
      </c>
      <c r="J55" s="3">
        <v>0.30199999999999999</v>
      </c>
      <c r="K55" s="3">
        <v>0.32</v>
      </c>
      <c r="M55" s="1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4"/>
      <c r="Z55" s="4"/>
      <c r="AA55" s="4"/>
      <c r="AB55" s="4"/>
      <c r="AC55" s="4"/>
      <c r="AD55" s="4"/>
      <c r="AE55" s="4"/>
    </row>
    <row r="56" spans="1:31" x14ac:dyDescent="0.2">
      <c r="A56" s="50">
        <v>1997</v>
      </c>
      <c r="B56" s="3">
        <v>7.0000000000000001E-3</v>
      </c>
      <c r="C56" s="3">
        <v>0.06</v>
      </c>
      <c r="D56" s="3">
        <v>0.126</v>
      </c>
      <c r="E56" s="3">
        <v>0.192</v>
      </c>
      <c r="F56" s="3">
        <v>0.214</v>
      </c>
      <c r="G56" s="3">
        <v>0.24</v>
      </c>
      <c r="H56" s="3">
        <v>0.27500000000000002</v>
      </c>
      <c r="I56" s="3">
        <v>0.29099999999999998</v>
      </c>
      <c r="J56" s="3">
        <v>0.309</v>
      </c>
      <c r="K56" s="3">
        <v>0.33700000000000002</v>
      </c>
      <c r="M56" s="1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4"/>
      <c r="Z56" s="4"/>
      <c r="AA56" s="4"/>
      <c r="AB56" s="4"/>
      <c r="AC56" s="4"/>
      <c r="AD56" s="4"/>
      <c r="AE56" s="4"/>
    </row>
    <row r="57" spans="1:31" x14ac:dyDescent="0.2">
      <c r="A57" s="50">
        <v>1998</v>
      </c>
      <c r="B57" s="3">
        <v>6.0000000000000001E-3</v>
      </c>
      <c r="C57" s="3">
        <v>5.7000000000000002E-2</v>
      </c>
      <c r="D57" s="3">
        <v>0.129</v>
      </c>
      <c r="E57" s="3">
        <v>0.186</v>
      </c>
      <c r="F57" s="3">
        <v>0.21099999999999999</v>
      </c>
      <c r="G57" s="3">
        <v>0.224</v>
      </c>
      <c r="H57" s="3">
        <v>0.26800000000000002</v>
      </c>
      <c r="I57" s="3">
        <v>0.29299999999999998</v>
      </c>
      <c r="J57" s="3">
        <v>0.318</v>
      </c>
      <c r="K57" s="3">
        <v>0.34499999999999997</v>
      </c>
      <c r="M57" s="1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4"/>
      <c r="Z57" s="4"/>
      <c r="AA57" s="4"/>
      <c r="AB57" s="4"/>
      <c r="AC57" s="4"/>
      <c r="AD57" s="4"/>
      <c r="AE57" s="4"/>
    </row>
    <row r="58" spans="1:31" x14ac:dyDescent="0.2">
      <c r="A58" s="50">
        <v>1999</v>
      </c>
      <c r="B58" s="3">
        <v>6.0000000000000001E-3</v>
      </c>
      <c r="C58" s="3">
        <v>5.3999999999999999E-2</v>
      </c>
      <c r="D58" s="3">
        <v>0.13</v>
      </c>
      <c r="E58" s="3">
        <v>0.19900000000000001</v>
      </c>
      <c r="F58" s="3">
        <v>0.22700000000000001</v>
      </c>
      <c r="G58" s="3">
        <v>0.23400000000000001</v>
      </c>
      <c r="H58" s="3">
        <v>0.27400000000000002</v>
      </c>
      <c r="I58" s="3">
        <v>0.30099999999999999</v>
      </c>
      <c r="J58" s="3">
        <v>0.32300000000000001</v>
      </c>
      <c r="K58" s="3">
        <v>0.34300000000000003</v>
      </c>
      <c r="M58" s="1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4"/>
      <c r="Z58" s="4"/>
      <c r="AA58" s="4"/>
      <c r="AB58" s="4"/>
      <c r="AC58" s="4"/>
      <c r="AD58" s="4"/>
      <c r="AE58" s="4"/>
    </row>
    <row r="59" spans="1:31" x14ac:dyDescent="0.2">
      <c r="A59" s="50">
        <v>2000</v>
      </c>
      <c r="B59" s="3">
        <v>5.0000000000000001E-3</v>
      </c>
      <c r="C59" s="3">
        <v>4.9000000000000002E-2</v>
      </c>
      <c r="D59" s="3">
        <v>0.123</v>
      </c>
      <c r="E59" s="3">
        <v>0.183</v>
      </c>
      <c r="F59" s="3">
        <v>0.23</v>
      </c>
      <c r="G59" s="3">
        <v>0.23699999999999999</v>
      </c>
      <c r="H59" s="3">
        <v>0.25700000000000001</v>
      </c>
      <c r="I59" s="3">
        <v>0.28000000000000003</v>
      </c>
      <c r="J59" s="3">
        <v>0.30299999999999999</v>
      </c>
      <c r="K59" s="3">
        <v>0.33400000000000002</v>
      </c>
      <c r="M59" s="1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4"/>
      <c r="Z59" s="4"/>
      <c r="AA59" s="4"/>
      <c r="AB59" s="4"/>
      <c r="AC59" s="4"/>
      <c r="AD59" s="4"/>
      <c r="AE59" s="4"/>
    </row>
    <row r="60" spans="1:31" x14ac:dyDescent="0.2">
      <c r="A60" s="50">
        <v>2001</v>
      </c>
      <c r="B60" s="3">
        <v>6.0000000000000001E-3</v>
      </c>
      <c r="C60" s="3">
        <v>4.7E-2</v>
      </c>
      <c r="D60" s="3">
        <v>0.11600000000000001</v>
      </c>
      <c r="E60" s="3">
        <v>0.187</v>
      </c>
      <c r="F60" s="3">
        <v>0.24099999999999999</v>
      </c>
      <c r="G60" s="3">
        <v>0.26400000000000001</v>
      </c>
      <c r="H60" s="3">
        <v>0.28399999999999997</v>
      </c>
      <c r="I60" s="3">
        <v>0.28699999999999998</v>
      </c>
      <c r="J60" s="3">
        <v>0.30099999999999999</v>
      </c>
      <c r="K60" s="3">
        <v>0.34200000000000003</v>
      </c>
      <c r="M60" s="1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4"/>
      <c r="Z60" s="4"/>
      <c r="AA60" s="4"/>
      <c r="AB60" s="4"/>
      <c r="AC60" s="4"/>
      <c r="AD60" s="4"/>
      <c r="AE60" s="4"/>
    </row>
    <row r="61" spans="1:31" x14ac:dyDescent="0.2">
      <c r="A61" s="50">
        <v>2002</v>
      </c>
      <c r="B61" s="3">
        <v>6.0000000000000001E-3</v>
      </c>
      <c r="C61" s="3">
        <v>5.0999999999999997E-2</v>
      </c>
      <c r="D61" s="3">
        <v>0.11600000000000001</v>
      </c>
      <c r="E61" s="3">
        <v>0.17899999999999999</v>
      </c>
      <c r="F61" s="3">
        <v>0.22600000000000001</v>
      </c>
      <c r="G61" s="3">
        <v>0.25600000000000001</v>
      </c>
      <c r="H61" s="3">
        <v>0.27300000000000002</v>
      </c>
      <c r="I61" s="3">
        <v>0.27600000000000002</v>
      </c>
      <c r="J61" s="3">
        <v>0.27</v>
      </c>
      <c r="K61" s="3">
        <v>0.318</v>
      </c>
      <c r="M61" s="1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</row>
    <row r="62" spans="1:31" x14ac:dyDescent="0.2">
      <c r="A62" s="50">
        <v>2003</v>
      </c>
      <c r="B62" s="3">
        <v>6.0000000000000001E-3</v>
      </c>
      <c r="C62" s="3">
        <v>5.0999999999999997E-2</v>
      </c>
      <c r="D62" s="3">
        <v>0.11600000000000001</v>
      </c>
      <c r="E62" s="3">
        <v>0.184</v>
      </c>
      <c r="F62" s="3">
        <v>0.221</v>
      </c>
      <c r="G62" s="3">
        <v>0.248</v>
      </c>
      <c r="H62" s="3">
        <v>0.27900000000000003</v>
      </c>
      <c r="I62" s="3">
        <v>0.28599999999999998</v>
      </c>
      <c r="J62" s="3">
        <v>0.28100000000000003</v>
      </c>
      <c r="K62" s="3">
        <v>0.30299999999999999</v>
      </c>
      <c r="M62" s="1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</row>
    <row r="63" spans="1:31" s="5" customFormat="1" x14ac:dyDescent="0.2">
      <c r="A63" s="50">
        <v>2004</v>
      </c>
      <c r="B63" s="3">
        <v>6.0000000000000001E-3</v>
      </c>
      <c r="C63" s="3">
        <v>5.0999999999999997E-2</v>
      </c>
      <c r="D63" s="3">
        <v>0.122</v>
      </c>
      <c r="E63" s="3">
        <v>0.17199999999999999</v>
      </c>
      <c r="F63" s="3">
        <v>0.21</v>
      </c>
      <c r="G63" s="3">
        <v>0.23300000000000001</v>
      </c>
      <c r="H63" s="3">
        <v>0.255</v>
      </c>
      <c r="I63" s="3">
        <v>0.27500000000000002</v>
      </c>
      <c r="J63" s="3">
        <v>0.27400000000000002</v>
      </c>
      <c r="K63" s="3">
        <v>0.28000000000000003</v>
      </c>
      <c r="M63" s="1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</row>
    <row r="64" spans="1:31" x14ac:dyDescent="0.2">
      <c r="A64" s="50">
        <v>2005</v>
      </c>
      <c r="B64" s="3">
        <v>6.0000000000000001E-3</v>
      </c>
      <c r="C64" s="3">
        <v>4.7E-2</v>
      </c>
      <c r="D64" s="3">
        <v>0.128</v>
      </c>
      <c r="E64" s="3">
        <v>0.17199999999999999</v>
      </c>
      <c r="F64" s="3">
        <v>0.20499999999999999</v>
      </c>
      <c r="G64" s="3">
        <v>0.22800000000000001</v>
      </c>
      <c r="H64" s="3">
        <v>0.248</v>
      </c>
      <c r="I64" s="3">
        <v>0.27</v>
      </c>
      <c r="J64" s="3">
        <v>0.28899999999999998</v>
      </c>
      <c r="K64" s="3">
        <v>0.27500000000000002</v>
      </c>
      <c r="M64" s="1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</row>
    <row r="65" spans="1:24" x14ac:dyDescent="0.2">
      <c r="A65" s="50">
        <v>2006</v>
      </c>
      <c r="B65" s="3">
        <v>7.0000000000000001E-3</v>
      </c>
      <c r="C65" s="3">
        <v>4.7E-2</v>
      </c>
      <c r="D65" s="3">
        <v>0.123</v>
      </c>
      <c r="E65" s="3">
        <v>0.17299999999999999</v>
      </c>
      <c r="F65" s="3">
        <v>0.20200000000000001</v>
      </c>
      <c r="G65" s="3">
        <v>0.222</v>
      </c>
      <c r="H65" s="3">
        <v>0.24199999999999999</v>
      </c>
      <c r="I65" s="3">
        <v>0.26600000000000001</v>
      </c>
      <c r="J65" s="3">
        <v>0.28499999999999998</v>
      </c>
      <c r="K65" s="3">
        <v>0.28299999999999997</v>
      </c>
      <c r="M65" s="1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</row>
    <row r="66" spans="1:24" x14ac:dyDescent="0.2">
      <c r="A66" s="50">
        <v>2007</v>
      </c>
      <c r="B66" s="3">
        <v>7.0000000000000001E-3</v>
      </c>
      <c r="C66" s="3">
        <v>4.2000000000000003E-2</v>
      </c>
      <c r="D66" s="3">
        <v>0.11899999999999999</v>
      </c>
      <c r="E66" s="3">
        <v>0.16500000000000001</v>
      </c>
      <c r="F66" s="3">
        <v>0.20300000000000001</v>
      </c>
      <c r="G66" s="3">
        <v>0.223</v>
      </c>
      <c r="H66" s="3">
        <v>0.248</v>
      </c>
      <c r="I66" s="3">
        <v>0.26800000000000002</v>
      </c>
      <c r="J66" s="3">
        <v>0.28299999999999997</v>
      </c>
      <c r="K66" s="3">
        <v>0.27500000000000002</v>
      </c>
      <c r="M66" s="1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</row>
    <row r="67" spans="1:24" x14ac:dyDescent="0.2">
      <c r="A67" s="50">
        <v>2008</v>
      </c>
      <c r="B67">
        <v>6.0000000000000001E-3</v>
      </c>
      <c r="C67">
        <v>4.1000000000000002E-2</v>
      </c>
      <c r="D67">
        <v>0.11799999999999999</v>
      </c>
      <c r="E67">
        <v>0.16400000000000001</v>
      </c>
      <c r="F67">
        <v>0.19800000000000001</v>
      </c>
      <c r="G67">
        <v>0.22500000000000001</v>
      </c>
      <c r="H67">
        <v>0.248</v>
      </c>
      <c r="I67">
        <v>0.26500000000000001</v>
      </c>
      <c r="J67">
        <v>0.28100000000000003</v>
      </c>
      <c r="K67">
        <v>0.29099999999999998</v>
      </c>
    </row>
    <row r="68" spans="1:24" x14ac:dyDescent="0.2">
      <c r="A68" s="50">
        <v>2009</v>
      </c>
      <c r="B68">
        <v>7.0000000000000001E-3</v>
      </c>
      <c r="C68">
        <v>4.1000000000000002E-2</v>
      </c>
      <c r="D68">
        <v>0.126</v>
      </c>
      <c r="E68">
        <v>0.155</v>
      </c>
      <c r="F68">
        <v>0.191</v>
      </c>
      <c r="G68">
        <v>0.216</v>
      </c>
      <c r="H68">
        <v>0.24199999999999999</v>
      </c>
      <c r="I68">
        <v>0.252</v>
      </c>
      <c r="J68">
        <v>0.26600000000000001</v>
      </c>
      <c r="K68">
        <v>0.27700000000000002</v>
      </c>
    </row>
    <row r="69" spans="1:24" x14ac:dyDescent="0.2">
      <c r="A69" s="50">
        <v>2010</v>
      </c>
      <c r="B69">
        <v>6.0000000000000001E-3</v>
      </c>
      <c r="C69">
        <v>5.0999999999999997E-2</v>
      </c>
      <c r="D69">
        <v>0.128</v>
      </c>
      <c r="E69">
        <v>0.161</v>
      </c>
      <c r="F69">
        <v>0.18</v>
      </c>
      <c r="G69">
        <v>0.20699999999999999</v>
      </c>
      <c r="H69">
        <v>0.224</v>
      </c>
      <c r="I69">
        <v>0.23799999999999999</v>
      </c>
      <c r="J69">
        <v>0.255</v>
      </c>
      <c r="K69">
        <v>0.26400000000000001</v>
      </c>
    </row>
    <row r="70" spans="1:24" x14ac:dyDescent="0.2">
      <c r="A70" s="50">
        <v>2011</v>
      </c>
      <c r="B70">
        <v>8.0000000000000002E-3</v>
      </c>
      <c r="C70">
        <v>5.5E-2</v>
      </c>
      <c r="D70">
        <v>0.125</v>
      </c>
      <c r="E70">
        <v>0.156</v>
      </c>
      <c r="F70">
        <v>0.18</v>
      </c>
      <c r="G70">
        <v>0.19600000000000001</v>
      </c>
      <c r="H70">
        <v>0.21199999999999999</v>
      </c>
      <c r="I70">
        <v>0.23</v>
      </c>
      <c r="J70">
        <v>0.245</v>
      </c>
      <c r="K70">
        <v>0.249</v>
      </c>
    </row>
    <row r="71" spans="1:24" x14ac:dyDescent="0.2">
      <c r="A71" s="50">
        <v>2012</v>
      </c>
      <c r="B71">
        <v>8.0000000000000002E-3</v>
      </c>
      <c r="C71">
        <v>5.8000000000000003E-2</v>
      </c>
      <c r="D71">
        <v>0.13</v>
      </c>
      <c r="E71">
        <v>0.16400000000000001</v>
      </c>
      <c r="F71">
        <v>0.18099999999999999</v>
      </c>
      <c r="G71">
        <v>0.19500000000000001</v>
      </c>
      <c r="H71">
        <v>0.218</v>
      </c>
      <c r="I71">
        <v>0.22600000000000001</v>
      </c>
      <c r="J71">
        <v>0.253</v>
      </c>
      <c r="K71">
        <v>0.26</v>
      </c>
    </row>
    <row r="72" spans="1:24" x14ac:dyDescent="0.2">
      <c r="A72" s="50">
        <v>2013</v>
      </c>
      <c r="B72">
        <v>7.0000000000000001E-3</v>
      </c>
      <c r="C72">
        <v>6.0999999999999999E-2</v>
      </c>
      <c r="D72">
        <v>0.13700000000000001</v>
      </c>
      <c r="E72">
        <v>0.18099999999999999</v>
      </c>
      <c r="F72">
        <v>0.19700000000000001</v>
      </c>
      <c r="G72">
        <v>0.21</v>
      </c>
      <c r="H72">
        <v>0.223</v>
      </c>
      <c r="I72">
        <v>0.23400000000000001</v>
      </c>
      <c r="J72">
        <v>0.255</v>
      </c>
      <c r="K72">
        <v>0.25900000000000001</v>
      </c>
    </row>
    <row r="73" spans="1:24" x14ac:dyDescent="0.2">
      <c r="A73" s="50">
        <v>2014</v>
      </c>
      <c r="B73">
        <v>7.0000000000000001E-3</v>
      </c>
      <c r="C73">
        <v>5.1999999999999998E-2</v>
      </c>
      <c r="D73">
        <v>0.14199999999999999</v>
      </c>
      <c r="E73">
        <v>0.19</v>
      </c>
      <c r="F73">
        <v>0.216</v>
      </c>
      <c r="G73">
        <v>0.224</v>
      </c>
      <c r="H73">
        <v>0.23400000000000001</v>
      </c>
      <c r="I73">
        <v>0.24</v>
      </c>
      <c r="J73">
        <v>0.25600000000000001</v>
      </c>
      <c r="K73">
        <v>0.26500000000000001</v>
      </c>
    </row>
    <row r="74" spans="1:24" x14ac:dyDescent="0.2">
      <c r="A74" s="50">
        <v>2015</v>
      </c>
      <c r="B74" s="55">
        <v>7.0000000000000001E-3</v>
      </c>
      <c r="C74" s="55">
        <v>5.1999999999999998E-2</v>
      </c>
      <c r="D74" s="55">
        <v>0.14199999999999999</v>
      </c>
      <c r="E74" s="55">
        <v>0.19</v>
      </c>
      <c r="F74" s="55">
        <v>0.216</v>
      </c>
      <c r="G74" s="55">
        <v>0.224</v>
      </c>
      <c r="H74" s="55">
        <v>0.23400000000000001</v>
      </c>
      <c r="I74" s="55">
        <v>0.24</v>
      </c>
      <c r="J74" s="55">
        <v>0.25600000000000001</v>
      </c>
      <c r="K74" s="55">
        <v>0.26500000000000001</v>
      </c>
    </row>
  </sheetData>
  <phoneticPr fontId="0" type="noConversion"/>
  <pageMargins left="0.75" right="0.75" top="1" bottom="1" header="0.5" footer="0.5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74"/>
  <sheetViews>
    <sheetView zoomScaleNormal="100" workbookViewId="0">
      <selection activeCell="L40" sqref="L40"/>
    </sheetView>
  </sheetViews>
  <sheetFormatPr defaultColWidth="8.85546875" defaultRowHeight="12.75" x14ac:dyDescent="0.2"/>
  <cols>
    <col min="1" max="1" width="8.85546875" style="49"/>
    <col min="2" max="5" width="8.85546875" customWidth="1"/>
    <col min="6" max="6" width="11" customWidth="1"/>
  </cols>
  <sheetData>
    <row r="1" spans="1:12" x14ac:dyDescent="0.2">
      <c r="B1" s="6" t="s">
        <v>6</v>
      </c>
      <c r="F1" s="15">
        <f ca="1">NOW()</f>
        <v>42452.710744560187</v>
      </c>
      <c r="G1" s="16">
        <f ca="1">NOW()</f>
        <v>42452.710744560187</v>
      </c>
    </row>
    <row r="2" spans="1:12" x14ac:dyDescent="0.2">
      <c r="B2">
        <v>1</v>
      </c>
      <c r="C2">
        <v>5</v>
      </c>
    </row>
    <row r="3" spans="1:12" x14ac:dyDescent="0.2">
      <c r="B3" s="7">
        <f>caton!$B$3</f>
        <v>1947</v>
      </c>
      <c r="C3" s="11">
        <f>B3+COUNT(B6:B99)-1</f>
        <v>2015</v>
      </c>
    </row>
    <row r="4" spans="1:12" x14ac:dyDescent="0.2">
      <c r="B4">
        <v>0</v>
      </c>
      <c r="C4" s="30">
        <f>B4+COUNT(B20:AA20)-1</f>
        <v>9</v>
      </c>
    </row>
    <row r="5" spans="1:12" x14ac:dyDescent="0.2">
      <c r="B5">
        <v>1</v>
      </c>
    </row>
    <row r="6" spans="1:12" x14ac:dyDescent="0.2">
      <c r="A6" s="50">
        <v>1947</v>
      </c>
      <c r="B6">
        <v>1</v>
      </c>
      <c r="C6">
        <v>1</v>
      </c>
      <c r="D6">
        <v>0.3</v>
      </c>
      <c r="E6">
        <v>0.2</v>
      </c>
      <c r="F6">
        <v>0.1</v>
      </c>
      <c r="G6">
        <v>0.1</v>
      </c>
      <c r="H6">
        <v>0.1</v>
      </c>
      <c r="I6">
        <v>0.1</v>
      </c>
      <c r="J6">
        <v>0.1</v>
      </c>
      <c r="K6" s="34" t="s">
        <v>33</v>
      </c>
      <c r="L6" s="34" t="s">
        <v>20</v>
      </c>
    </row>
    <row r="7" spans="1:12" x14ac:dyDescent="0.2">
      <c r="A7" s="50">
        <v>1948</v>
      </c>
      <c r="B7">
        <v>1</v>
      </c>
      <c r="C7">
        <v>1</v>
      </c>
      <c r="D7">
        <v>0.3</v>
      </c>
      <c r="E7">
        <v>0.2</v>
      </c>
      <c r="F7">
        <v>0.1</v>
      </c>
      <c r="G7">
        <v>0.1</v>
      </c>
      <c r="H7">
        <v>0.1</v>
      </c>
      <c r="I7">
        <v>0.1</v>
      </c>
      <c r="J7">
        <v>0.1</v>
      </c>
      <c r="K7" s="34" t="s">
        <v>33</v>
      </c>
      <c r="L7" s="34" t="s">
        <v>21</v>
      </c>
    </row>
    <row r="8" spans="1:12" x14ac:dyDescent="0.2">
      <c r="A8" s="50">
        <v>1949</v>
      </c>
      <c r="B8">
        <v>1</v>
      </c>
      <c r="C8">
        <v>1</v>
      </c>
      <c r="D8">
        <v>0.3</v>
      </c>
      <c r="E8">
        <v>0.2</v>
      </c>
      <c r="F8">
        <v>0.1</v>
      </c>
      <c r="G8">
        <v>0.1</v>
      </c>
      <c r="H8">
        <v>0.1</v>
      </c>
      <c r="I8">
        <v>0.1</v>
      </c>
      <c r="J8">
        <v>0.1</v>
      </c>
      <c r="K8" s="34" t="s">
        <v>33</v>
      </c>
      <c r="L8" s="34" t="s">
        <v>22</v>
      </c>
    </row>
    <row r="9" spans="1:12" x14ac:dyDescent="0.2">
      <c r="A9" s="50">
        <v>1950</v>
      </c>
      <c r="B9">
        <v>1</v>
      </c>
      <c r="C9">
        <v>1</v>
      </c>
      <c r="D9">
        <v>0.3</v>
      </c>
      <c r="E9">
        <v>0.2</v>
      </c>
      <c r="F9">
        <v>0.1</v>
      </c>
      <c r="G9">
        <v>0.1</v>
      </c>
      <c r="H9">
        <v>0.1</v>
      </c>
      <c r="I9">
        <v>0.1</v>
      </c>
      <c r="J9">
        <v>0.1</v>
      </c>
      <c r="K9" s="34" t="s">
        <v>33</v>
      </c>
      <c r="L9" s="34" t="s">
        <v>23</v>
      </c>
    </row>
    <row r="10" spans="1:12" x14ac:dyDescent="0.2">
      <c r="A10" s="50">
        <v>1951</v>
      </c>
      <c r="B10">
        <v>1</v>
      </c>
      <c r="C10">
        <v>1</v>
      </c>
      <c r="D10">
        <v>0.3</v>
      </c>
      <c r="E10">
        <v>0.2</v>
      </c>
      <c r="F10">
        <v>0.1</v>
      </c>
      <c r="G10">
        <v>0.1</v>
      </c>
      <c r="H10">
        <v>0.1</v>
      </c>
      <c r="I10">
        <v>0.1</v>
      </c>
      <c r="J10">
        <v>0.1</v>
      </c>
      <c r="K10" s="34" t="s">
        <v>33</v>
      </c>
      <c r="L10" s="34" t="s">
        <v>24</v>
      </c>
    </row>
    <row r="11" spans="1:12" x14ac:dyDescent="0.2">
      <c r="A11" s="50">
        <v>1952</v>
      </c>
      <c r="B11">
        <v>1</v>
      </c>
      <c r="C11">
        <v>1</v>
      </c>
      <c r="D11">
        <v>0.3</v>
      </c>
      <c r="E11">
        <v>0.2</v>
      </c>
      <c r="F11">
        <v>0.1</v>
      </c>
      <c r="G11">
        <v>0.1</v>
      </c>
      <c r="H11">
        <v>0.1</v>
      </c>
      <c r="I11">
        <v>0.1</v>
      </c>
      <c r="J11">
        <v>0.1</v>
      </c>
      <c r="K11" s="34" t="s">
        <v>33</v>
      </c>
      <c r="L11" s="34" t="s">
        <v>25</v>
      </c>
    </row>
    <row r="12" spans="1:12" x14ac:dyDescent="0.2">
      <c r="A12" s="50">
        <v>1953</v>
      </c>
      <c r="B12">
        <v>1</v>
      </c>
      <c r="C12">
        <v>1</v>
      </c>
      <c r="D12">
        <v>0.3</v>
      </c>
      <c r="E12">
        <v>0.2</v>
      </c>
      <c r="F12">
        <v>0.1</v>
      </c>
      <c r="G12">
        <v>0.1</v>
      </c>
      <c r="H12">
        <v>0.1</v>
      </c>
      <c r="I12">
        <v>0.1</v>
      </c>
      <c r="J12">
        <v>0.1</v>
      </c>
      <c r="K12" s="34" t="s">
        <v>33</v>
      </c>
      <c r="L12" s="34" t="s">
        <v>26</v>
      </c>
    </row>
    <row r="13" spans="1:12" x14ac:dyDescent="0.2">
      <c r="A13" s="50">
        <v>1954</v>
      </c>
      <c r="B13">
        <v>1</v>
      </c>
      <c r="C13">
        <v>1</v>
      </c>
      <c r="D13">
        <v>0.3</v>
      </c>
      <c r="E13">
        <v>0.2</v>
      </c>
      <c r="F13">
        <v>0.1</v>
      </c>
      <c r="G13">
        <v>0.1</v>
      </c>
      <c r="H13">
        <v>0.1</v>
      </c>
      <c r="I13">
        <v>0.1</v>
      </c>
      <c r="J13">
        <v>0.1</v>
      </c>
      <c r="K13" s="34" t="s">
        <v>33</v>
      </c>
      <c r="L13" s="34" t="s">
        <v>27</v>
      </c>
    </row>
    <row r="14" spans="1:12" x14ac:dyDescent="0.2">
      <c r="A14" s="50">
        <v>1955</v>
      </c>
      <c r="B14">
        <v>1</v>
      </c>
      <c r="C14">
        <v>1</v>
      </c>
      <c r="D14">
        <v>0.3</v>
      </c>
      <c r="E14">
        <v>0.2</v>
      </c>
      <c r="F14">
        <v>0.1</v>
      </c>
      <c r="G14">
        <v>0.1</v>
      </c>
      <c r="H14">
        <v>0.1</v>
      </c>
      <c r="I14">
        <v>0.1</v>
      </c>
      <c r="J14">
        <v>0.1</v>
      </c>
      <c r="K14" s="34" t="s">
        <v>33</v>
      </c>
      <c r="L14" s="34" t="s">
        <v>28</v>
      </c>
    </row>
    <row r="15" spans="1:12" x14ac:dyDescent="0.2">
      <c r="A15" s="50">
        <v>1956</v>
      </c>
      <c r="B15">
        <v>1</v>
      </c>
      <c r="C15">
        <v>1</v>
      </c>
      <c r="D15">
        <v>0.3</v>
      </c>
      <c r="E15">
        <v>0.2</v>
      </c>
      <c r="F15">
        <v>0.1</v>
      </c>
      <c r="G15">
        <v>0.1</v>
      </c>
      <c r="H15">
        <v>0.1</v>
      </c>
      <c r="I15">
        <v>0.1</v>
      </c>
      <c r="J15">
        <v>0.1</v>
      </c>
      <c r="K15" s="34" t="s">
        <v>33</v>
      </c>
      <c r="L15" s="34" t="s">
        <v>29</v>
      </c>
    </row>
    <row r="16" spans="1:12" x14ac:dyDescent="0.2">
      <c r="A16" s="50">
        <v>1957</v>
      </c>
      <c r="B16">
        <v>1</v>
      </c>
      <c r="C16">
        <v>1</v>
      </c>
      <c r="D16">
        <v>0.3</v>
      </c>
      <c r="E16">
        <v>0.2</v>
      </c>
      <c r="F16">
        <v>0.1</v>
      </c>
      <c r="G16">
        <v>0.1</v>
      </c>
      <c r="H16">
        <v>0.1</v>
      </c>
      <c r="I16">
        <v>0.1</v>
      </c>
      <c r="J16">
        <v>0.1</v>
      </c>
      <c r="K16" s="34" t="s">
        <v>33</v>
      </c>
      <c r="L16" s="34" t="s">
        <v>30</v>
      </c>
    </row>
    <row r="17" spans="1:14" x14ac:dyDescent="0.2">
      <c r="A17" s="50">
        <v>1958</v>
      </c>
      <c r="B17">
        <v>1</v>
      </c>
      <c r="C17">
        <v>1</v>
      </c>
      <c r="D17">
        <v>0.3</v>
      </c>
      <c r="E17">
        <v>0.2</v>
      </c>
      <c r="F17">
        <v>0.1</v>
      </c>
      <c r="G17">
        <v>0.1</v>
      </c>
      <c r="H17">
        <v>0.1</v>
      </c>
      <c r="I17">
        <v>0.1</v>
      </c>
      <c r="J17">
        <v>0.1</v>
      </c>
      <c r="K17" s="34" t="s">
        <v>33</v>
      </c>
      <c r="L17" s="34" t="s">
        <v>31</v>
      </c>
    </row>
    <row r="18" spans="1:14" x14ac:dyDescent="0.2">
      <c r="A18" s="50">
        <v>1959</v>
      </c>
      <c r="B18">
        <v>1</v>
      </c>
      <c r="C18">
        <v>1</v>
      </c>
      <c r="D18">
        <v>0.3</v>
      </c>
      <c r="E18">
        <v>0.2</v>
      </c>
      <c r="F18">
        <v>0.1</v>
      </c>
      <c r="G18">
        <v>0.1</v>
      </c>
      <c r="H18">
        <v>0.1</v>
      </c>
      <c r="I18">
        <v>0.1</v>
      </c>
      <c r="J18">
        <v>0.1</v>
      </c>
      <c r="K18" s="34" t="s">
        <v>33</v>
      </c>
      <c r="L18" s="34" t="s">
        <v>32</v>
      </c>
    </row>
    <row r="19" spans="1:14" x14ac:dyDescent="0.2">
      <c r="A19" s="50">
        <v>1960</v>
      </c>
      <c r="B19">
        <v>1</v>
      </c>
      <c r="C19">
        <v>1</v>
      </c>
      <c r="D19">
        <v>0.3</v>
      </c>
      <c r="E19">
        <v>0.2</v>
      </c>
      <c r="F19">
        <v>0.1</v>
      </c>
      <c r="G19">
        <v>0.1</v>
      </c>
      <c r="H19">
        <v>0.1</v>
      </c>
      <c r="I19">
        <v>0.1</v>
      </c>
      <c r="J19">
        <v>0.1</v>
      </c>
      <c r="K19">
        <v>0.1</v>
      </c>
    </row>
    <row r="20" spans="1:14" x14ac:dyDescent="0.2">
      <c r="A20" s="50">
        <v>1961</v>
      </c>
      <c r="B20">
        <v>1</v>
      </c>
      <c r="C20">
        <v>1</v>
      </c>
      <c r="D20">
        <v>0.3</v>
      </c>
      <c r="E20">
        <v>0.2</v>
      </c>
      <c r="F20">
        <v>0.1</v>
      </c>
      <c r="G20">
        <v>0.1</v>
      </c>
      <c r="H20">
        <v>0.1</v>
      </c>
      <c r="I20">
        <v>0.1</v>
      </c>
      <c r="J20">
        <v>0.1</v>
      </c>
      <c r="K20">
        <v>0.1</v>
      </c>
    </row>
    <row r="21" spans="1:14" x14ac:dyDescent="0.2">
      <c r="A21" s="50">
        <v>1962</v>
      </c>
      <c r="B21">
        <v>1</v>
      </c>
      <c r="C21">
        <v>1</v>
      </c>
      <c r="D21">
        <v>0.3</v>
      </c>
      <c r="E21">
        <v>0.2</v>
      </c>
      <c r="F21">
        <v>0.1</v>
      </c>
      <c r="G21">
        <v>0.1</v>
      </c>
      <c r="H21">
        <v>0.1</v>
      </c>
      <c r="I21">
        <v>0.1</v>
      </c>
      <c r="J21">
        <v>0.1</v>
      </c>
      <c r="K21">
        <v>0.1</v>
      </c>
    </row>
    <row r="22" spans="1:14" x14ac:dyDescent="0.2">
      <c r="A22" s="50">
        <v>1963</v>
      </c>
      <c r="B22">
        <v>1</v>
      </c>
      <c r="C22">
        <v>1</v>
      </c>
      <c r="D22">
        <v>0.3</v>
      </c>
      <c r="E22">
        <v>0.2</v>
      </c>
      <c r="F22">
        <v>0.1</v>
      </c>
      <c r="G22">
        <v>0.1</v>
      </c>
      <c r="H22">
        <v>0.1</v>
      </c>
      <c r="I22">
        <v>0.1</v>
      </c>
      <c r="J22">
        <v>0.1</v>
      </c>
      <c r="K22">
        <v>0.1</v>
      </c>
    </row>
    <row r="23" spans="1:14" x14ac:dyDescent="0.2">
      <c r="A23" s="50">
        <v>1964</v>
      </c>
      <c r="B23">
        <v>1</v>
      </c>
      <c r="C23">
        <v>1</v>
      </c>
      <c r="D23">
        <v>0.3</v>
      </c>
      <c r="E23">
        <v>0.2</v>
      </c>
      <c r="F23">
        <v>0.1</v>
      </c>
      <c r="G23">
        <v>0.1</v>
      </c>
      <c r="H23">
        <v>0.1</v>
      </c>
      <c r="I23">
        <v>0.1</v>
      </c>
      <c r="J23">
        <v>0.1</v>
      </c>
      <c r="K23">
        <v>0.1</v>
      </c>
    </row>
    <row r="24" spans="1:14" x14ac:dyDescent="0.2">
      <c r="A24" s="50">
        <v>1965</v>
      </c>
      <c r="B24">
        <v>1</v>
      </c>
      <c r="C24">
        <v>1</v>
      </c>
      <c r="D24">
        <v>0.3</v>
      </c>
      <c r="E24">
        <v>0.2</v>
      </c>
      <c r="F24">
        <v>0.1</v>
      </c>
      <c r="G24">
        <v>0.1</v>
      </c>
      <c r="H24">
        <v>0.1</v>
      </c>
      <c r="I24">
        <v>0.1</v>
      </c>
      <c r="J24">
        <v>0.1</v>
      </c>
      <c r="K24">
        <v>0.1</v>
      </c>
    </row>
    <row r="25" spans="1:14" x14ac:dyDescent="0.2">
      <c r="A25" s="50">
        <v>1966</v>
      </c>
      <c r="B25">
        <v>1</v>
      </c>
      <c r="C25">
        <v>1</v>
      </c>
      <c r="D25">
        <v>0.3</v>
      </c>
      <c r="E25">
        <v>0.2</v>
      </c>
      <c r="F25">
        <v>0.1</v>
      </c>
      <c r="G25">
        <v>0.1</v>
      </c>
      <c r="H25">
        <v>0.1</v>
      </c>
      <c r="I25">
        <v>0.1</v>
      </c>
      <c r="J25">
        <v>0.1</v>
      </c>
      <c r="K25">
        <v>0.1</v>
      </c>
      <c r="N25" s="5"/>
    </row>
    <row r="26" spans="1:14" x14ac:dyDescent="0.2">
      <c r="A26" s="50">
        <v>1967</v>
      </c>
      <c r="B26">
        <v>1</v>
      </c>
      <c r="C26">
        <v>1</v>
      </c>
      <c r="D26">
        <v>0.3</v>
      </c>
      <c r="E26">
        <v>0.2</v>
      </c>
      <c r="F26">
        <v>0.1</v>
      </c>
      <c r="G26">
        <v>0.1</v>
      </c>
      <c r="H26">
        <v>0.1</v>
      </c>
      <c r="I26">
        <v>0.1</v>
      </c>
      <c r="J26">
        <v>0.1</v>
      </c>
      <c r="K26">
        <v>0.1</v>
      </c>
      <c r="N26" s="5"/>
    </row>
    <row r="27" spans="1:14" x14ac:dyDescent="0.2">
      <c r="A27" s="50">
        <v>1968</v>
      </c>
      <c r="B27">
        <v>1</v>
      </c>
      <c r="C27">
        <v>1</v>
      </c>
      <c r="D27">
        <v>0.3</v>
      </c>
      <c r="E27">
        <v>0.2</v>
      </c>
      <c r="F27">
        <v>0.1</v>
      </c>
      <c r="G27">
        <v>0.1</v>
      </c>
      <c r="H27">
        <v>0.1</v>
      </c>
      <c r="I27">
        <v>0.1</v>
      </c>
      <c r="J27">
        <v>0.1</v>
      </c>
      <c r="K27">
        <v>0.1</v>
      </c>
      <c r="N27" s="5"/>
    </row>
    <row r="28" spans="1:14" x14ac:dyDescent="0.2">
      <c r="A28" s="50">
        <v>1969</v>
      </c>
      <c r="B28">
        <v>1</v>
      </c>
      <c r="C28">
        <v>1</v>
      </c>
      <c r="D28">
        <v>0.3</v>
      </c>
      <c r="E28">
        <v>0.2</v>
      </c>
      <c r="F28">
        <v>0.1</v>
      </c>
      <c r="G28">
        <v>0.1</v>
      </c>
      <c r="H28">
        <v>0.1</v>
      </c>
      <c r="I28">
        <v>0.1</v>
      </c>
      <c r="J28">
        <v>0.1</v>
      </c>
      <c r="K28">
        <v>0.1</v>
      </c>
      <c r="N28" s="5"/>
    </row>
    <row r="29" spans="1:14" x14ac:dyDescent="0.2">
      <c r="A29" s="50">
        <v>1970</v>
      </c>
      <c r="B29">
        <v>1</v>
      </c>
      <c r="C29">
        <v>1</v>
      </c>
      <c r="D29">
        <v>0.3</v>
      </c>
      <c r="E29">
        <v>0.2</v>
      </c>
      <c r="F29">
        <v>0.1</v>
      </c>
      <c r="G29">
        <v>0.1</v>
      </c>
      <c r="H29">
        <v>0.1</v>
      </c>
      <c r="I29">
        <v>0.1</v>
      </c>
      <c r="J29">
        <v>0.1</v>
      </c>
      <c r="K29">
        <v>0.1</v>
      </c>
      <c r="N29" s="5"/>
    </row>
    <row r="30" spans="1:14" x14ac:dyDescent="0.2">
      <c r="A30" s="50">
        <v>1971</v>
      </c>
      <c r="B30">
        <v>1</v>
      </c>
      <c r="C30">
        <v>1</v>
      </c>
      <c r="D30">
        <v>0.3</v>
      </c>
      <c r="E30">
        <v>0.2</v>
      </c>
      <c r="F30">
        <v>0.1</v>
      </c>
      <c r="G30">
        <v>0.1</v>
      </c>
      <c r="H30">
        <v>0.1</v>
      </c>
      <c r="I30">
        <v>0.1</v>
      </c>
      <c r="J30">
        <v>0.1</v>
      </c>
      <c r="K30">
        <v>0.1</v>
      </c>
      <c r="N30" s="5"/>
    </row>
    <row r="31" spans="1:14" x14ac:dyDescent="0.2">
      <c r="A31" s="50">
        <v>1972</v>
      </c>
      <c r="B31">
        <v>1</v>
      </c>
      <c r="C31">
        <v>1</v>
      </c>
      <c r="D31">
        <v>0.3</v>
      </c>
      <c r="E31">
        <v>0.2</v>
      </c>
      <c r="F31">
        <v>0.1</v>
      </c>
      <c r="G31">
        <v>0.1</v>
      </c>
      <c r="H31">
        <v>0.1</v>
      </c>
      <c r="I31">
        <v>0.1</v>
      </c>
      <c r="J31">
        <v>0.1</v>
      </c>
      <c r="K31">
        <v>0.1</v>
      </c>
      <c r="N31" s="5"/>
    </row>
    <row r="32" spans="1:14" x14ac:dyDescent="0.2">
      <c r="A32" s="50">
        <v>1973</v>
      </c>
      <c r="B32">
        <v>1</v>
      </c>
      <c r="C32">
        <v>1</v>
      </c>
      <c r="D32">
        <v>0.3</v>
      </c>
      <c r="E32">
        <v>0.2</v>
      </c>
      <c r="F32">
        <v>0.1</v>
      </c>
      <c r="G32">
        <v>0.1</v>
      </c>
      <c r="H32">
        <v>0.1</v>
      </c>
      <c r="I32">
        <v>0.1</v>
      </c>
      <c r="J32">
        <v>0.1</v>
      </c>
      <c r="K32">
        <v>0.1</v>
      </c>
      <c r="N32" s="5"/>
    </row>
    <row r="33" spans="1:14" x14ac:dyDescent="0.2">
      <c r="A33" s="50">
        <v>1974</v>
      </c>
      <c r="B33">
        <v>1</v>
      </c>
      <c r="C33">
        <v>1</v>
      </c>
      <c r="D33">
        <v>0.3</v>
      </c>
      <c r="E33">
        <v>0.2</v>
      </c>
      <c r="F33">
        <v>0.1</v>
      </c>
      <c r="G33">
        <v>0.1</v>
      </c>
      <c r="H33">
        <v>0.1</v>
      </c>
      <c r="I33">
        <v>0.1</v>
      </c>
      <c r="J33">
        <v>0.1</v>
      </c>
      <c r="K33">
        <v>0.1</v>
      </c>
      <c r="N33" s="5"/>
    </row>
    <row r="34" spans="1:14" x14ac:dyDescent="0.2">
      <c r="A34" s="50">
        <v>1975</v>
      </c>
      <c r="B34">
        <v>1</v>
      </c>
      <c r="C34">
        <v>1</v>
      </c>
      <c r="D34">
        <v>0.3</v>
      </c>
      <c r="E34">
        <v>0.2</v>
      </c>
      <c r="F34">
        <v>0.1</v>
      </c>
      <c r="G34">
        <v>0.1</v>
      </c>
      <c r="H34">
        <v>0.1</v>
      </c>
      <c r="I34">
        <v>0.1</v>
      </c>
      <c r="J34">
        <v>0.1</v>
      </c>
      <c r="K34">
        <v>0.1</v>
      </c>
      <c r="N34" s="5"/>
    </row>
    <row r="35" spans="1:14" x14ac:dyDescent="0.2">
      <c r="A35" s="50">
        <v>1976</v>
      </c>
      <c r="B35">
        <v>1</v>
      </c>
      <c r="C35">
        <v>1</v>
      </c>
      <c r="D35">
        <v>0.3</v>
      </c>
      <c r="E35">
        <v>0.2</v>
      </c>
      <c r="F35">
        <v>0.1</v>
      </c>
      <c r="G35">
        <v>0.1</v>
      </c>
      <c r="H35">
        <v>0.1</v>
      </c>
      <c r="I35">
        <v>0.1</v>
      </c>
      <c r="J35">
        <v>0.1</v>
      </c>
      <c r="K35">
        <v>0.1</v>
      </c>
      <c r="N35" s="5"/>
    </row>
    <row r="36" spans="1:14" x14ac:dyDescent="0.2">
      <c r="A36" s="50">
        <v>1977</v>
      </c>
      <c r="B36">
        <v>1</v>
      </c>
      <c r="C36">
        <v>1</v>
      </c>
      <c r="D36">
        <v>0.3</v>
      </c>
      <c r="E36">
        <v>0.2</v>
      </c>
      <c r="F36">
        <v>0.1</v>
      </c>
      <c r="G36">
        <v>0.1</v>
      </c>
      <c r="H36">
        <v>0.1</v>
      </c>
      <c r="I36">
        <v>0.1</v>
      </c>
      <c r="J36">
        <v>0.1</v>
      </c>
      <c r="K36">
        <v>0.1</v>
      </c>
      <c r="N36" s="5"/>
    </row>
    <row r="37" spans="1:14" x14ac:dyDescent="0.2">
      <c r="A37" s="50">
        <v>1978</v>
      </c>
      <c r="B37">
        <v>1</v>
      </c>
      <c r="C37">
        <v>1</v>
      </c>
      <c r="D37">
        <v>0.3</v>
      </c>
      <c r="E37">
        <v>0.2</v>
      </c>
      <c r="F37">
        <v>0.1</v>
      </c>
      <c r="G37">
        <v>0.1</v>
      </c>
      <c r="H37">
        <v>0.1</v>
      </c>
      <c r="I37">
        <v>0.1</v>
      </c>
      <c r="J37">
        <v>0.1</v>
      </c>
      <c r="K37">
        <v>0.1</v>
      </c>
      <c r="N37" s="5"/>
    </row>
    <row r="38" spans="1:14" x14ac:dyDescent="0.2">
      <c r="A38" s="50">
        <v>1979</v>
      </c>
      <c r="B38">
        <v>1</v>
      </c>
      <c r="C38">
        <v>1</v>
      </c>
      <c r="D38">
        <v>0.3</v>
      </c>
      <c r="E38">
        <v>0.2</v>
      </c>
      <c r="F38">
        <v>0.1</v>
      </c>
      <c r="G38">
        <v>0.1</v>
      </c>
      <c r="H38">
        <v>0.1</v>
      </c>
      <c r="I38">
        <v>0.1</v>
      </c>
      <c r="J38">
        <v>0.1</v>
      </c>
      <c r="K38">
        <v>0.1</v>
      </c>
      <c r="N38" s="5"/>
    </row>
    <row r="39" spans="1:14" x14ac:dyDescent="0.2">
      <c r="A39" s="50">
        <v>1980</v>
      </c>
      <c r="B39">
        <v>1</v>
      </c>
      <c r="C39">
        <v>1</v>
      </c>
      <c r="D39">
        <v>0.3</v>
      </c>
      <c r="E39">
        <v>0.2</v>
      </c>
      <c r="F39">
        <v>0.1</v>
      </c>
      <c r="G39">
        <v>0.1</v>
      </c>
      <c r="H39">
        <v>0.1</v>
      </c>
      <c r="I39">
        <v>0.1</v>
      </c>
      <c r="J39">
        <v>0.1</v>
      </c>
      <c r="K39">
        <v>0.1</v>
      </c>
      <c r="N39" s="5"/>
    </row>
    <row r="40" spans="1:14" x14ac:dyDescent="0.2">
      <c r="A40" s="50">
        <v>1981</v>
      </c>
      <c r="B40">
        <v>1</v>
      </c>
      <c r="C40">
        <v>1</v>
      </c>
      <c r="D40">
        <v>0.3</v>
      </c>
      <c r="E40">
        <v>0.2</v>
      </c>
      <c r="F40">
        <v>0.1</v>
      </c>
      <c r="G40">
        <v>0.1</v>
      </c>
      <c r="H40">
        <v>0.1</v>
      </c>
      <c r="I40">
        <v>0.1</v>
      </c>
      <c r="J40">
        <v>0.1</v>
      </c>
      <c r="K40">
        <v>0.1</v>
      </c>
      <c r="N40" s="5"/>
    </row>
    <row r="41" spans="1:14" x14ac:dyDescent="0.2">
      <c r="A41" s="50">
        <v>1982</v>
      </c>
      <c r="B41">
        <v>1</v>
      </c>
      <c r="C41">
        <v>1</v>
      </c>
      <c r="D41">
        <v>0.3</v>
      </c>
      <c r="E41">
        <v>0.2</v>
      </c>
      <c r="F41">
        <v>0.1</v>
      </c>
      <c r="G41">
        <v>0.1</v>
      </c>
      <c r="H41">
        <v>0.1</v>
      </c>
      <c r="I41">
        <v>0.1</v>
      </c>
      <c r="J41">
        <v>0.1</v>
      </c>
      <c r="K41">
        <v>0.1</v>
      </c>
      <c r="N41" s="5"/>
    </row>
    <row r="42" spans="1:14" x14ac:dyDescent="0.2">
      <c r="A42" s="50">
        <v>1983</v>
      </c>
      <c r="B42">
        <v>1</v>
      </c>
      <c r="C42">
        <v>1</v>
      </c>
      <c r="D42">
        <v>0.3</v>
      </c>
      <c r="E42">
        <v>0.2</v>
      </c>
      <c r="F42">
        <v>0.1</v>
      </c>
      <c r="G42">
        <v>0.1</v>
      </c>
      <c r="H42">
        <v>0.1</v>
      </c>
      <c r="I42">
        <v>0.1</v>
      </c>
      <c r="J42">
        <v>0.1</v>
      </c>
      <c r="K42">
        <v>0.1</v>
      </c>
      <c r="N42" s="5"/>
    </row>
    <row r="43" spans="1:14" x14ac:dyDescent="0.2">
      <c r="A43" s="50">
        <v>1984</v>
      </c>
      <c r="B43">
        <v>1</v>
      </c>
      <c r="C43">
        <v>1</v>
      </c>
      <c r="D43">
        <v>0.3</v>
      </c>
      <c r="E43">
        <v>0.2</v>
      </c>
      <c r="F43">
        <v>0.1</v>
      </c>
      <c r="G43">
        <v>0.1</v>
      </c>
      <c r="H43">
        <v>0.1</v>
      </c>
      <c r="I43">
        <v>0.1</v>
      </c>
      <c r="J43">
        <v>0.1</v>
      </c>
      <c r="K43">
        <v>0.1</v>
      </c>
      <c r="N43" s="5"/>
    </row>
    <row r="44" spans="1:14" x14ac:dyDescent="0.2">
      <c r="A44" s="50">
        <v>1985</v>
      </c>
      <c r="B44">
        <v>1</v>
      </c>
      <c r="C44">
        <v>1</v>
      </c>
      <c r="D44">
        <v>0.3</v>
      </c>
      <c r="E44">
        <v>0.2</v>
      </c>
      <c r="F44">
        <v>0.1</v>
      </c>
      <c r="G44">
        <v>0.1</v>
      </c>
      <c r="H44">
        <v>0.1</v>
      </c>
      <c r="I44">
        <v>0.1</v>
      </c>
      <c r="J44">
        <v>0.1</v>
      </c>
      <c r="K44">
        <v>0.1</v>
      </c>
      <c r="N44" s="5"/>
    </row>
    <row r="45" spans="1:14" x14ac:dyDescent="0.2">
      <c r="A45" s="50">
        <v>1986</v>
      </c>
      <c r="B45">
        <v>1</v>
      </c>
      <c r="C45">
        <v>1</v>
      </c>
      <c r="D45">
        <v>0.3</v>
      </c>
      <c r="E45">
        <v>0.2</v>
      </c>
      <c r="F45">
        <v>0.1</v>
      </c>
      <c r="G45">
        <v>0.1</v>
      </c>
      <c r="H45">
        <v>0.1</v>
      </c>
      <c r="I45">
        <v>0.1</v>
      </c>
      <c r="J45">
        <v>0.1</v>
      </c>
      <c r="K45">
        <v>0.1</v>
      </c>
      <c r="N45" s="5"/>
    </row>
    <row r="46" spans="1:14" x14ac:dyDescent="0.2">
      <c r="A46" s="50">
        <v>1987</v>
      </c>
      <c r="B46">
        <v>1</v>
      </c>
      <c r="C46">
        <v>1</v>
      </c>
      <c r="D46">
        <v>0.3</v>
      </c>
      <c r="E46">
        <v>0.2</v>
      </c>
      <c r="F46">
        <v>0.1</v>
      </c>
      <c r="G46">
        <v>0.1</v>
      </c>
      <c r="H46">
        <v>0.1</v>
      </c>
      <c r="I46">
        <v>0.1</v>
      </c>
      <c r="J46">
        <v>0.1</v>
      </c>
      <c r="K46">
        <v>0.1</v>
      </c>
      <c r="N46" s="5"/>
    </row>
    <row r="47" spans="1:14" x14ac:dyDescent="0.2">
      <c r="A47" s="50">
        <v>1988</v>
      </c>
      <c r="B47" s="5">
        <v>1</v>
      </c>
      <c r="C47" s="5">
        <v>1</v>
      </c>
      <c r="D47" s="5">
        <v>0.3</v>
      </c>
      <c r="E47" s="5">
        <v>0.2</v>
      </c>
      <c r="F47" s="5">
        <v>0.1</v>
      </c>
      <c r="G47" s="5">
        <v>0.1</v>
      </c>
      <c r="H47" s="5">
        <v>0.1</v>
      </c>
      <c r="I47" s="5">
        <v>0.1</v>
      </c>
      <c r="J47" s="5">
        <v>0.1</v>
      </c>
      <c r="K47">
        <v>0.1</v>
      </c>
      <c r="N47" s="5"/>
    </row>
    <row r="48" spans="1:14" x14ac:dyDescent="0.2">
      <c r="A48" s="50">
        <v>1989</v>
      </c>
      <c r="B48" s="5">
        <v>1</v>
      </c>
      <c r="C48" s="5">
        <v>1</v>
      </c>
      <c r="D48" s="5">
        <v>0.3</v>
      </c>
      <c r="E48" s="5">
        <v>0.2</v>
      </c>
      <c r="F48" s="5">
        <v>0.1</v>
      </c>
      <c r="G48" s="5">
        <v>0.1</v>
      </c>
      <c r="H48" s="5">
        <v>0.1</v>
      </c>
      <c r="I48" s="5">
        <v>0.1</v>
      </c>
      <c r="J48" s="5">
        <v>0.1</v>
      </c>
      <c r="K48">
        <v>0.1</v>
      </c>
      <c r="N48" s="5"/>
    </row>
    <row r="49" spans="1:14" x14ac:dyDescent="0.2">
      <c r="A49" s="50">
        <v>1990</v>
      </c>
      <c r="B49" s="5">
        <v>1</v>
      </c>
      <c r="C49" s="5">
        <v>1</v>
      </c>
      <c r="D49" s="5">
        <v>0.3</v>
      </c>
      <c r="E49" s="5">
        <v>0.2</v>
      </c>
      <c r="F49" s="5">
        <v>0.1</v>
      </c>
      <c r="G49" s="5">
        <v>0.1</v>
      </c>
      <c r="H49" s="5">
        <v>0.1</v>
      </c>
      <c r="I49" s="5">
        <v>0.1</v>
      </c>
      <c r="J49" s="5">
        <v>0.1</v>
      </c>
      <c r="K49">
        <v>0.1</v>
      </c>
      <c r="N49" s="5"/>
    </row>
    <row r="50" spans="1:14" x14ac:dyDescent="0.2">
      <c r="A50" s="50">
        <v>1991</v>
      </c>
      <c r="B50">
        <v>1</v>
      </c>
      <c r="C50">
        <v>1</v>
      </c>
      <c r="D50">
        <v>0.3</v>
      </c>
      <c r="E50">
        <v>0.2</v>
      </c>
      <c r="F50">
        <v>0.1</v>
      </c>
      <c r="G50">
        <v>0.1</v>
      </c>
      <c r="H50">
        <v>0.1</v>
      </c>
      <c r="I50">
        <v>0.1</v>
      </c>
      <c r="J50">
        <v>0.1</v>
      </c>
      <c r="K50">
        <v>0.1</v>
      </c>
    </row>
    <row r="51" spans="1:14" x14ac:dyDescent="0.2">
      <c r="A51" s="50">
        <v>1992</v>
      </c>
      <c r="B51">
        <v>1</v>
      </c>
      <c r="C51">
        <v>1</v>
      </c>
      <c r="D51">
        <v>0.3</v>
      </c>
      <c r="E51">
        <v>0.2</v>
      </c>
      <c r="F51">
        <v>0.1</v>
      </c>
      <c r="G51">
        <v>0.1</v>
      </c>
      <c r="H51">
        <v>0.1</v>
      </c>
      <c r="I51">
        <v>0.1</v>
      </c>
      <c r="J51">
        <v>0.1</v>
      </c>
      <c r="K51">
        <v>0.1</v>
      </c>
    </row>
    <row r="52" spans="1:14" x14ac:dyDescent="0.2">
      <c r="A52" s="50">
        <v>1993</v>
      </c>
      <c r="B52">
        <v>1</v>
      </c>
      <c r="C52">
        <v>1</v>
      </c>
      <c r="D52">
        <v>0.3</v>
      </c>
      <c r="E52">
        <v>0.2</v>
      </c>
      <c r="F52">
        <v>0.1</v>
      </c>
      <c r="G52">
        <v>0.1</v>
      </c>
      <c r="H52">
        <v>0.1</v>
      </c>
      <c r="I52">
        <v>0.1</v>
      </c>
      <c r="J52">
        <v>0.1</v>
      </c>
      <c r="K52">
        <v>0.1</v>
      </c>
    </row>
    <row r="53" spans="1:14" x14ac:dyDescent="0.2">
      <c r="A53" s="50">
        <v>1994</v>
      </c>
      <c r="B53">
        <v>1</v>
      </c>
      <c r="C53">
        <v>1</v>
      </c>
      <c r="D53">
        <v>0.3</v>
      </c>
      <c r="E53">
        <v>0.2</v>
      </c>
      <c r="F53">
        <v>0.1</v>
      </c>
      <c r="G53">
        <v>0.1</v>
      </c>
      <c r="H53">
        <v>0.1</v>
      </c>
      <c r="I53">
        <v>0.1</v>
      </c>
      <c r="J53">
        <v>0.1</v>
      </c>
      <c r="K53">
        <v>0.1</v>
      </c>
    </row>
    <row r="54" spans="1:14" x14ac:dyDescent="0.2">
      <c r="A54" s="50">
        <v>1995</v>
      </c>
      <c r="B54">
        <v>1</v>
      </c>
      <c r="C54">
        <v>1</v>
      </c>
      <c r="D54">
        <v>0.3</v>
      </c>
      <c r="E54">
        <v>0.2</v>
      </c>
      <c r="F54">
        <v>0.1</v>
      </c>
      <c r="G54">
        <v>0.1</v>
      </c>
      <c r="H54">
        <v>0.1</v>
      </c>
      <c r="I54">
        <v>0.1</v>
      </c>
      <c r="J54">
        <v>0.1</v>
      </c>
      <c r="K54">
        <v>0.1</v>
      </c>
    </row>
    <row r="55" spans="1:14" x14ac:dyDescent="0.2">
      <c r="A55" s="50">
        <v>1996</v>
      </c>
      <c r="B55">
        <v>1</v>
      </c>
      <c r="C55">
        <v>1</v>
      </c>
      <c r="D55">
        <v>0.3</v>
      </c>
      <c r="E55">
        <v>0.2</v>
      </c>
      <c r="F55">
        <v>0.1</v>
      </c>
      <c r="G55">
        <v>0.1</v>
      </c>
      <c r="H55">
        <v>0.1</v>
      </c>
      <c r="I55">
        <v>0.1</v>
      </c>
      <c r="J55">
        <v>0.1</v>
      </c>
      <c r="K55">
        <v>0.1</v>
      </c>
    </row>
    <row r="56" spans="1:14" x14ac:dyDescent="0.2">
      <c r="A56" s="50">
        <v>1997</v>
      </c>
      <c r="B56">
        <v>1</v>
      </c>
      <c r="C56">
        <v>1</v>
      </c>
      <c r="D56">
        <v>0.3</v>
      </c>
      <c r="E56">
        <v>0.2</v>
      </c>
      <c r="F56">
        <v>0.1</v>
      </c>
      <c r="G56">
        <v>0.1</v>
      </c>
      <c r="H56">
        <v>0.1</v>
      </c>
      <c r="I56">
        <v>0.1</v>
      </c>
      <c r="J56">
        <v>0.1</v>
      </c>
      <c r="K56">
        <v>0.1</v>
      </c>
    </row>
    <row r="57" spans="1:14" x14ac:dyDescent="0.2">
      <c r="A57" s="50">
        <v>1998</v>
      </c>
      <c r="B57">
        <v>1</v>
      </c>
      <c r="C57">
        <v>1</v>
      </c>
      <c r="D57">
        <v>0.3</v>
      </c>
      <c r="E57">
        <v>0.2</v>
      </c>
      <c r="F57">
        <v>0.1</v>
      </c>
      <c r="G57">
        <v>0.1</v>
      </c>
      <c r="H57">
        <v>0.1</v>
      </c>
      <c r="I57">
        <v>0.1</v>
      </c>
      <c r="J57">
        <v>0.1</v>
      </c>
      <c r="K57">
        <v>0.1</v>
      </c>
    </row>
    <row r="58" spans="1:14" x14ac:dyDescent="0.2">
      <c r="A58" s="50">
        <v>1999</v>
      </c>
      <c r="B58">
        <v>1</v>
      </c>
      <c r="C58">
        <v>1</v>
      </c>
      <c r="D58">
        <v>0.3</v>
      </c>
      <c r="E58">
        <v>0.2</v>
      </c>
      <c r="F58">
        <v>0.1</v>
      </c>
      <c r="G58">
        <v>0.1</v>
      </c>
      <c r="H58">
        <v>0.1</v>
      </c>
      <c r="I58">
        <v>0.1</v>
      </c>
      <c r="J58">
        <v>0.1</v>
      </c>
      <c r="K58">
        <v>0.1</v>
      </c>
    </row>
    <row r="59" spans="1:14" x14ac:dyDescent="0.2">
      <c r="A59" s="50">
        <v>2000</v>
      </c>
      <c r="B59">
        <v>1</v>
      </c>
      <c r="C59">
        <v>1</v>
      </c>
      <c r="D59">
        <v>0.3</v>
      </c>
      <c r="E59">
        <v>0.2</v>
      </c>
      <c r="F59">
        <v>0.1</v>
      </c>
      <c r="G59">
        <v>0.1</v>
      </c>
      <c r="H59">
        <v>0.1</v>
      </c>
      <c r="I59">
        <v>0.1</v>
      </c>
      <c r="J59">
        <v>0.1</v>
      </c>
      <c r="K59">
        <v>0.1</v>
      </c>
    </row>
    <row r="60" spans="1:14" x14ac:dyDescent="0.2">
      <c r="A60" s="50">
        <v>2001</v>
      </c>
      <c r="B60">
        <v>1</v>
      </c>
      <c r="C60">
        <v>1</v>
      </c>
      <c r="D60">
        <v>0.3</v>
      </c>
      <c r="E60">
        <v>0.2</v>
      </c>
      <c r="F60">
        <v>0.1</v>
      </c>
      <c r="G60">
        <v>0.1</v>
      </c>
      <c r="H60">
        <v>0.1</v>
      </c>
      <c r="I60">
        <v>0.1</v>
      </c>
      <c r="J60">
        <v>0.1</v>
      </c>
      <c r="K60">
        <v>0.1</v>
      </c>
    </row>
    <row r="61" spans="1:14" x14ac:dyDescent="0.2">
      <c r="A61" s="50">
        <v>2002</v>
      </c>
      <c r="B61">
        <v>1</v>
      </c>
      <c r="C61">
        <v>1</v>
      </c>
      <c r="D61">
        <v>0.3</v>
      </c>
      <c r="E61">
        <v>0.2</v>
      </c>
      <c r="F61">
        <v>0.1</v>
      </c>
      <c r="G61">
        <v>0.1</v>
      </c>
      <c r="H61">
        <v>0.1</v>
      </c>
      <c r="I61">
        <v>0.1</v>
      </c>
      <c r="J61">
        <v>0.1</v>
      </c>
      <c r="K61">
        <v>0.1</v>
      </c>
    </row>
    <row r="62" spans="1:14" x14ac:dyDescent="0.2">
      <c r="A62" s="50">
        <v>2003</v>
      </c>
      <c r="B62">
        <v>1</v>
      </c>
      <c r="C62">
        <v>1</v>
      </c>
      <c r="D62">
        <v>0.3</v>
      </c>
      <c r="E62">
        <v>0.2</v>
      </c>
      <c r="F62">
        <v>0.1</v>
      </c>
      <c r="G62">
        <v>0.1</v>
      </c>
      <c r="H62">
        <v>0.1</v>
      </c>
      <c r="I62">
        <v>0.1</v>
      </c>
      <c r="J62">
        <v>0.1</v>
      </c>
      <c r="K62">
        <v>0.1</v>
      </c>
    </row>
    <row r="63" spans="1:14" x14ac:dyDescent="0.2">
      <c r="A63" s="50">
        <v>2004</v>
      </c>
      <c r="B63">
        <v>1</v>
      </c>
      <c r="C63">
        <v>1</v>
      </c>
      <c r="D63">
        <v>0.3</v>
      </c>
      <c r="E63">
        <v>0.2</v>
      </c>
      <c r="F63">
        <v>0.1</v>
      </c>
      <c r="G63">
        <v>0.1</v>
      </c>
      <c r="H63">
        <v>0.1</v>
      </c>
      <c r="I63">
        <v>0.1</v>
      </c>
      <c r="J63">
        <v>0.1</v>
      </c>
      <c r="K63">
        <v>0.1</v>
      </c>
    </row>
    <row r="64" spans="1:14" x14ac:dyDescent="0.2">
      <c r="A64" s="50">
        <v>2005</v>
      </c>
      <c r="B64">
        <v>1</v>
      </c>
      <c r="C64">
        <v>1</v>
      </c>
      <c r="D64">
        <v>0.3</v>
      </c>
      <c r="E64">
        <v>0.2</v>
      </c>
      <c r="F64">
        <v>0.1</v>
      </c>
      <c r="G64">
        <v>0.1</v>
      </c>
      <c r="H64">
        <v>0.1</v>
      </c>
      <c r="I64">
        <v>0.1</v>
      </c>
      <c r="J64">
        <v>0.1</v>
      </c>
      <c r="K64">
        <v>0.1</v>
      </c>
    </row>
    <row r="65" spans="1:11" x14ac:dyDescent="0.2">
      <c r="A65" s="50">
        <v>2006</v>
      </c>
      <c r="B65">
        <v>1</v>
      </c>
      <c r="C65">
        <v>1</v>
      </c>
      <c r="D65">
        <v>0.3</v>
      </c>
      <c r="E65">
        <v>0.2</v>
      </c>
      <c r="F65">
        <v>0.1</v>
      </c>
      <c r="G65">
        <v>0.1</v>
      </c>
      <c r="H65">
        <v>0.1</v>
      </c>
      <c r="I65">
        <v>0.1</v>
      </c>
      <c r="J65">
        <v>0.1</v>
      </c>
      <c r="K65">
        <v>0.1</v>
      </c>
    </row>
    <row r="66" spans="1:11" x14ac:dyDescent="0.2">
      <c r="A66" s="50">
        <v>2007</v>
      </c>
      <c r="B66">
        <v>1</v>
      </c>
      <c r="C66">
        <v>1</v>
      </c>
      <c r="D66">
        <v>0.3</v>
      </c>
      <c r="E66">
        <v>0.2</v>
      </c>
      <c r="F66">
        <v>0.1</v>
      </c>
      <c r="G66">
        <v>0.1</v>
      </c>
      <c r="H66">
        <v>0.1</v>
      </c>
      <c r="I66">
        <v>0.1</v>
      </c>
      <c r="J66">
        <v>0.1</v>
      </c>
      <c r="K66">
        <v>0.1</v>
      </c>
    </row>
    <row r="67" spans="1:11" x14ac:dyDescent="0.2">
      <c r="A67" s="50">
        <v>2008</v>
      </c>
      <c r="B67">
        <v>1</v>
      </c>
      <c r="C67">
        <v>1</v>
      </c>
      <c r="D67">
        <v>0.3</v>
      </c>
      <c r="E67">
        <v>0.2</v>
      </c>
      <c r="F67">
        <v>0.1</v>
      </c>
      <c r="G67">
        <v>0.1</v>
      </c>
      <c r="H67">
        <v>0.1</v>
      </c>
      <c r="I67">
        <v>0.1</v>
      </c>
      <c r="J67">
        <v>0.1</v>
      </c>
      <c r="K67">
        <v>0.1</v>
      </c>
    </row>
    <row r="68" spans="1:11" x14ac:dyDescent="0.2">
      <c r="A68" s="50">
        <v>2009</v>
      </c>
      <c r="B68">
        <v>1</v>
      </c>
      <c r="C68">
        <v>1</v>
      </c>
      <c r="D68">
        <v>0.3</v>
      </c>
      <c r="E68">
        <v>0.2</v>
      </c>
      <c r="F68">
        <v>0.1</v>
      </c>
      <c r="G68">
        <v>0.1</v>
      </c>
      <c r="H68">
        <v>0.1</v>
      </c>
      <c r="I68">
        <v>0.1</v>
      </c>
      <c r="J68">
        <v>0.1</v>
      </c>
      <c r="K68">
        <v>0.1</v>
      </c>
    </row>
    <row r="69" spans="1:11" x14ac:dyDescent="0.2">
      <c r="A69" s="50">
        <v>2010</v>
      </c>
      <c r="B69">
        <v>1</v>
      </c>
      <c r="C69">
        <v>1</v>
      </c>
      <c r="D69">
        <v>0.3</v>
      </c>
      <c r="E69">
        <v>0.2</v>
      </c>
      <c r="F69">
        <v>0.1</v>
      </c>
      <c r="G69">
        <v>0.1</v>
      </c>
      <c r="H69">
        <v>0.1</v>
      </c>
      <c r="I69">
        <v>0.1</v>
      </c>
      <c r="J69">
        <v>0.1</v>
      </c>
      <c r="K69">
        <v>0.1</v>
      </c>
    </row>
    <row r="70" spans="1:11" x14ac:dyDescent="0.2">
      <c r="A70" s="50">
        <v>2011</v>
      </c>
      <c r="B70">
        <v>1</v>
      </c>
      <c r="C70">
        <v>1</v>
      </c>
      <c r="D70">
        <v>0.3</v>
      </c>
      <c r="E70">
        <v>0.2</v>
      </c>
      <c r="F70">
        <v>0.1</v>
      </c>
      <c r="G70">
        <v>0.1</v>
      </c>
      <c r="H70">
        <v>0.1</v>
      </c>
      <c r="I70">
        <v>0.1</v>
      </c>
      <c r="J70">
        <v>0.1</v>
      </c>
      <c r="K70">
        <v>0.1</v>
      </c>
    </row>
    <row r="71" spans="1:11" x14ac:dyDescent="0.2">
      <c r="A71" s="50">
        <v>2012</v>
      </c>
      <c r="B71">
        <v>1</v>
      </c>
      <c r="C71">
        <v>1</v>
      </c>
      <c r="D71">
        <v>0.3</v>
      </c>
      <c r="E71">
        <v>0.2</v>
      </c>
      <c r="F71">
        <v>0.1</v>
      </c>
      <c r="G71">
        <v>0.1</v>
      </c>
      <c r="H71">
        <v>0.1</v>
      </c>
      <c r="I71">
        <v>0.1</v>
      </c>
      <c r="J71">
        <v>0.1</v>
      </c>
      <c r="K71">
        <v>0.1</v>
      </c>
    </row>
    <row r="72" spans="1:11" x14ac:dyDescent="0.2">
      <c r="A72" s="50">
        <v>2013</v>
      </c>
      <c r="B72">
        <v>1</v>
      </c>
      <c r="C72">
        <v>1</v>
      </c>
      <c r="D72">
        <v>0.3</v>
      </c>
      <c r="E72">
        <v>0.2</v>
      </c>
      <c r="F72">
        <v>0.1</v>
      </c>
      <c r="G72">
        <v>0.1</v>
      </c>
      <c r="H72">
        <v>0.1</v>
      </c>
      <c r="I72">
        <v>0.1</v>
      </c>
      <c r="J72">
        <v>0.1</v>
      </c>
      <c r="K72">
        <v>0.1</v>
      </c>
    </row>
    <row r="73" spans="1:11" x14ac:dyDescent="0.2">
      <c r="A73" s="50">
        <v>2014</v>
      </c>
      <c r="B73">
        <v>1</v>
      </c>
      <c r="C73">
        <v>1</v>
      </c>
      <c r="D73">
        <v>0.3</v>
      </c>
      <c r="E73">
        <v>0.2</v>
      </c>
      <c r="F73">
        <v>0.1</v>
      </c>
      <c r="G73">
        <v>0.1</v>
      </c>
      <c r="H73">
        <v>0.1</v>
      </c>
      <c r="I73">
        <v>0.1</v>
      </c>
      <c r="J73">
        <v>0.1</v>
      </c>
      <c r="K73">
        <v>0.1</v>
      </c>
    </row>
    <row r="74" spans="1:11" x14ac:dyDescent="0.2">
      <c r="A74" s="50">
        <v>2015</v>
      </c>
      <c r="B74" s="55">
        <v>1</v>
      </c>
      <c r="C74" s="55">
        <v>1</v>
      </c>
      <c r="D74" s="55">
        <v>0.3</v>
      </c>
      <c r="E74" s="55">
        <v>0.2</v>
      </c>
      <c r="F74" s="55">
        <v>0.1</v>
      </c>
      <c r="G74" s="55">
        <v>0.1</v>
      </c>
      <c r="H74" s="55">
        <v>0.1</v>
      </c>
      <c r="I74" s="55">
        <v>0.1</v>
      </c>
      <c r="J74" s="55">
        <v>0.1</v>
      </c>
      <c r="K74" s="55">
        <v>0.1</v>
      </c>
    </row>
  </sheetData>
  <phoneticPr fontId="0" type="noConversion"/>
  <pageMargins left="0.75" right="0.75" top="1" bottom="1" header="0.5" footer="0.5"/>
  <pageSetup paperSize="9" scale="85"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N45"/>
  <sheetViews>
    <sheetView tabSelected="1" topLeftCell="A3" zoomScaleNormal="100" workbookViewId="0">
      <selection activeCell="P36" sqref="P36"/>
    </sheetView>
  </sheetViews>
  <sheetFormatPr defaultColWidth="8.85546875" defaultRowHeight="12.75" x14ac:dyDescent="0.2"/>
  <cols>
    <col min="1" max="1" width="8.85546875" style="49"/>
    <col min="2" max="5" width="8.85546875" customWidth="1"/>
    <col min="6" max="6" width="11" customWidth="1"/>
  </cols>
  <sheetData>
    <row r="1" spans="1:14" x14ac:dyDescent="0.2">
      <c r="B1" s="6" t="s">
        <v>120</v>
      </c>
      <c r="F1" s="15">
        <f ca="1">NOW()</f>
        <v>42452.710744560187</v>
      </c>
      <c r="G1" s="16">
        <f ca="1">NOW()</f>
        <v>42452.710744560187</v>
      </c>
    </row>
    <row r="2" spans="1:14" x14ac:dyDescent="0.2">
      <c r="B2">
        <v>1</v>
      </c>
      <c r="C2">
        <v>5</v>
      </c>
    </row>
    <row r="3" spans="1:14" x14ac:dyDescent="0.2">
      <c r="B3" s="7">
        <v>1974</v>
      </c>
      <c r="C3" s="11">
        <f>B3+COUNT(B6:B70)-1</f>
        <v>2013</v>
      </c>
    </row>
    <row r="4" spans="1:14" x14ac:dyDescent="0.2">
      <c r="B4">
        <v>0</v>
      </c>
      <c r="C4" s="30">
        <f>B4+COUNT(B6:AA6)-1</f>
        <v>9</v>
      </c>
    </row>
    <row r="5" spans="1:14" x14ac:dyDescent="0.2">
      <c r="B5">
        <v>1</v>
      </c>
    </row>
    <row r="6" spans="1:14" x14ac:dyDescent="0.2">
      <c r="A6" s="50">
        <v>1974</v>
      </c>
      <c r="B6" s="32">
        <v>0.91400000000000003</v>
      </c>
      <c r="C6" s="32">
        <v>0.66200000000000003</v>
      </c>
      <c r="D6" s="32">
        <v>0.39800000000000002</v>
      </c>
      <c r="E6" s="32">
        <v>0.38100000000000001</v>
      </c>
      <c r="F6" s="32">
        <v>0.36099999999999999</v>
      </c>
      <c r="G6" s="32">
        <v>0.34799999999999998</v>
      </c>
      <c r="H6" s="32">
        <v>0.34699999999999998</v>
      </c>
      <c r="I6" s="32">
        <v>0.33100000000000002</v>
      </c>
      <c r="J6" s="32">
        <v>-1</v>
      </c>
      <c r="K6" s="32">
        <v>-1</v>
      </c>
      <c r="N6" s="5"/>
    </row>
    <row r="7" spans="1:14" x14ac:dyDescent="0.2">
      <c r="A7" s="50">
        <v>1975</v>
      </c>
      <c r="B7" s="32">
        <v>0.86699999999999999</v>
      </c>
      <c r="C7" s="32">
        <v>0.64</v>
      </c>
      <c r="D7" s="32">
        <v>0.372</v>
      </c>
      <c r="E7" s="32">
        <v>0.35899999999999999</v>
      </c>
      <c r="F7" s="32">
        <v>0.312</v>
      </c>
      <c r="G7" s="32">
        <v>0.3</v>
      </c>
      <c r="H7" s="32">
        <v>0.3</v>
      </c>
      <c r="I7" s="32">
        <v>0.28599999999999998</v>
      </c>
      <c r="J7" s="32">
        <v>-1</v>
      </c>
      <c r="K7" s="32">
        <v>-1</v>
      </c>
      <c r="N7" s="5"/>
    </row>
    <row r="8" spans="1:14" x14ac:dyDescent="0.2">
      <c r="A8" s="50">
        <v>1976</v>
      </c>
      <c r="B8" s="32">
        <v>0.94399999999999995</v>
      </c>
      <c r="C8" s="32">
        <v>0.74</v>
      </c>
      <c r="D8" s="32">
        <v>0.42099999999999999</v>
      </c>
      <c r="E8" s="32">
        <v>0.36</v>
      </c>
      <c r="F8" s="32">
        <v>0.33800000000000002</v>
      </c>
      <c r="G8" s="32">
        <v>0.29899999999999999</v>
      </c>
      <c r="H8" s="32">
        <v>0.29799999999999999</v>
      </c>
      <c r="I8" s="32">
        <v>0.26200000000000001</v>
      </c>
      <c r="J8" s="32">
        <v>-1</v>
      </c>
      <c r="K8" s="32">
        <v>-1</v>
      </c>
      <c r="N8" s="5"/>
    </row>
    <row r="9" spans="1:14" x14ac:dyDescent="0.2">
      <c r="A9" s="50">
        <v>1977</v>
      </c>
      <c r="B9" s="32">
        <v>0.91500000000000004</v>
      </c>
      <c r="C9" s="32">
        <v>0.81</v>
      </c>
      <c r="D9" s="32">
        <v>0.42199999999999999</v>
      </c>
      <c r="E9" s="32">
        <v>0.374</v>
      </c>
      <c r="F9" s="32">
        <v>0.36399999999999999</v>
      </c>
      <c r="G9" s="32">
        <v>0.33900000000000002</v>
      </c>
      <c r="H9" s="32">
        <v>0.29899999999999999</v>
      </c>
      <c r="I9" s="32">
        <v>0.27500000000000002</v>
      </c>
      <c r="J9" s="32">
        <v>-1</v>
      </c>
      <c r="K9" s="32">
        <v>-1</v>
      </c>
      <c r="N9" s="5"/>
    </row>
    <row r="10" spans="1:14" x14ac:dyDescent="0.2">
      <c r="A10" s="50">
        <v>1978</v>
      </c>
      <c r="B10" s="32">
        <v>0.81799999999999995</v>
      </c>
      <c r="C10" s="32">
        <v>0.82699999999999996</v>
      </c>
      <c r="D10" s="32">
        <v>0.41599999999999998</v>
      </c>
      <c r="E10" s="32">
        <v>0.36499999999999999</v>
      </c>
      <c r="F10" s="32">
        <v>0.36</v>
      </c>
      <c r="G10" s="32">
        <v>0.33100000000000002</v>
      </c>
      <c r="H10" s="32">
        <v>0.33100000000000002</v>
      </c>
      <c r="I10" s="32">
        <v>0.27800000000000002</v>
      </c>
      <c r="J10" s="32">
        <v>-1</v>
      </c>
      <c r="K10" s="32">
        <v>-1</v>
      </c>
      <c r="N10" s="5"/>
    </row>
    <row r="11" spans="1:14" x14ac:dyDescent="0.2">
      <c r="A11" s="50">
        <v>1979</v>
      </c>
      <c r="B11" s="32">
        <v>0.72699999999999998</v>
      </c>
      <c r="C11" s="32">
        <v>0.66700000000000004</v>
      </c>
      <c r="D11" s="32">
        <v>0.34799999999999998</v>
      </c>
      <c r="E11" s="32">
        <v>0.33100000000000002</v>
      </c>
      <c r="F11" s="32">
        <v>0.314</v>
      </c>
      <c r="G11" s="32">
        <v>0.30399999999999999</v>
      </c>
      <c r="H11" s="32">
        <v>0.28999999999999998</v>
      </c>
      <c r="I11" s="32">
        <v>0.26300000000000001</v>
      </c>
      <c r="J11" s="32">
        <v>-1</v>
      </c>
      <c r="K11" s="32">
        <v>-1</v>
      </c>
      <c r="N11" s="5"/>
    </row>
    <row r="12" spans="1:14" x14ac:dyDescent="0.2">
      <c r="A12" s="50">
        <v>1980</v>
      </c>
      <c r="B12" s="32">
        <v>0.91500000000000004</v>
      </c>
      <c r="C12" s="32">
        <v>0.70799999999999996</v>
      </c>
      <c r="D12" s="32">
        <v>0.312</v>
      </c>
      <c r="E12" s="32">
        <v>0.28199999999999997</v>
      </c>
      <c r="F12" s="32">
        <v>0.27200000000000002</v>
      </c>
      <c r="G12" s="32">
        <v>0.253</v>
      </c>
      <c r="H12" s="32">
        <v>0.253</v>
      </c>
      <c r="I12" s="32">
        <v>0.23499999999999999</v>
      </c>
      <c r="J12" s="32">
        <v>-1</v>
      </c>
      <c r="K12" s="32">
        <v>-1</v>
      </c>
      <c r="N12" s="5"/>
    </row>
    <row r="13" spans="1:14" x14ac:dyDescent="0.2">
      <c r="A13" s="50">
        <v>1981</v>
      </c>
      <c r="B13" s="32">
        <v>0.92700000000000005</v>
      </c>
      <c r="C13" s="32">
        <v>0.86799999999999999</v>
      </c>
      <c r="D13" s="32">
        <v>0.41299999999999998</v>
      </c>
      <c r="E13" s="32">
        <v>0.374</v>
      </c>
      <c r="F13" s="32">
        <v>0.34399999999999997</v>
      </c>
      <c r="G13" s="32">
        <v>0.30599999999999999</v>
      </c>
      <c r="H13" s="32">
        <v>0.29499999999999998</v>
      </c>
      <c r="I13" s="32">
        <v>0.25800000000000001</v>
      </c>
      <c r="J13" s="32">
        <v>-1</v>
      </c>
      <c r="K13" s="32">
        <v>-1</v>
      </c>
      <c r="N13" s="5"/>
    </row>
    <row r="14" spans="1:14" x14ac:dyDescent="0.2">
      <c r="A14" s="50">
        <v>1982</v>
      </c>
      <c r="B14" s="32">
        <v>0.871</v>
      </c>
      <c r="C14" s="32">
        <v>0.71499999999999997</v>
      </c>
      <c r="D14" s="32">
        <v>0.39700000000000002</v>
      </c>
      <c r="E14" s="32">
        <v>0.34100000000000003</v>
      </c>
      <c r="F14" s="32">
        <v>0.33600000000000002</v>
      </c>
      <c r="G14" s="32">
        <v>0.32100000000000001</v>
      </c>
      <c r="H14" s="32">
        <v>0.3</v>
      </c>
      <c r="I14" s="32">
        <v>0.27700000000000002</v>
      </c>
      <c r="J14" s="32">
        <v>-1</v>
      </c>
      <c r="K14" s="32">
        <v>-1</v>
      </c>
      <c r="N14" s="5"/>
    </row>
    <row r="15" spans="1:14" x14ac:dyDescent="0.2">
      <c r="A15" s="50">
        <v>1983</v>
      </c>
      <c r="B15" s="32">
        <v>0.77600000000000002</v>
      </c>
      <c r="C15" s="32">
        <v>0.64</v>
      </c>
      <c r="D15" s="32">
        <v>0.39</v>
      </c>
      <c r="E15" s="32">
        <v>0.36699999999999999</v>
      </c>
      <c r="F15" s="32">
        <v>0.35</v>
      </c>
      <c r="G15" s="32">
        <v>0.30199999999999999</v>
      </c>
      <c r="H15" s="32">
        <v>0.30099999999999999</v>
      </c>
      <c r="I15" s="32">
        <v>0.25600000000000001</v>
      </c>
      <c r="J15" s="32">
        <v>-1</v>
      </c>
      <c r="K15" s="32">
        <v>-1</v>
      </c>
      <c r="N15" s="5"/>
    </row>
    <row r="16" spans="1:14" x14ac:dyDescent="0.2">
      <c r="A16" s="50">
        <v>1984</v>
      </c>
      <c r="B16" s="32">
        <v>0.80800000000000005</v>
      </c>
      <c r="C16" s="32">
        <v>0.61199999999999999</v>
      </c>
      <c r="D16" s="32">
        <v>0.32300000000000001</v>
      </c>
      <c r="E16" s="32">
        <v>0.28499999999999998</v>
      </c>
      <c r="F16" s="32">
        <v>0.26500000000000001</v>
      </c>
      <c r="G16" s="32">
        <v>0.254</v>
      </c>
      <c r="H16" s="32">
        <v>0.253</v>
      </c>
      <c r="I16" s="32">
        <v>0.22500000000000001</v>
      </c>
      <c r="J16" s="32">
        <v>-1</v>
      </c>
      <c r="K16" s="32">
        <v>-1</v>
      </c>
      <c r="N16" s="5"/>
    </row>
    <row r="17" spans="1:14" x14ac:dyDescent="0.2">
      <c r="A17" s="50">
        <v>1985</v>
      </c>
      <c r="B17" s="32">
        <v>0.70699999999999996</v>
      </c>
      <c r="C17" s="32">
        <v>0.67400000000000004</v>
      </c>
      <c r="D17" s="32">
        <v>0.37</v>
      </c>
      <c r="E17" s="32">
        <v>0.33500000000000002</v>
      </c>
      <c r="F17" s="32">
        <v>0.30499999999999999</v>
      </c>
      <c r="G17" s="32">
        <v>0.28399999999999997</v>
      </c>
      <c r="H17" s="32">
        <v>0.26900000000000002</v>
      </c>
      <c r="I17" s="32">
        <v>0.23</v>
      </c>
      <c r="J17" s="32">
        <v>-1</v>
      </c>
      <c r="K17" s="32">
        <v>-1</v>
      </c>
      <c r="N17" s="5"/>
    </row>
    <row r="18" spans="1:14" x14ac:dyDescent="0.2">
      <c r="A18" s="50">
        <v>1986</v>
      </c>
      <c r="B18" s="32">
        <v>0.69399999999999995</v>
      </c>
      <c r="C18" s="32">
        <v>0.70599999999999996</v>
      </c>
      <c r="D18" s="32">
        <v>0.38300000000000001</v>
      </c>
      <c r="E18" s="32">
        <v>0.27500000000000002</v>
      </c>
      <c r="F18" s="32">
        <v>0.253</v>
      </c>
      <c r="G18" s="32">
        <v>0.23</v>
      </c>
      <c r="H18" s="32">
        <v>0.22900000000000001</v>
      </c>
      <c r="I18" s="32">
        <v>0.21</v>
      </c>
      <c r="J18" s="32">
        <v>-1</v>
      </c>
      <c r="K18" s="32">
        <v>-1</v>
      </c>
      <c r="N18" s="5"/>
    </row>
    <row r="19" spans="1:14" x14ac:dyDescent="0.2">
      <c r="A19" s="50">
        <v>1987</v>
      </c>
      <c r="B19" s="32">
        <v>0.79400000000000004</v>
      </c>
      <c r="C19" s="32">
        <v>0.66100000000000003</v>
      </c>
      <c r="D19" s="32">
        <v>0.33300000000000002</v>
      </c>
      <c r="E19" s="32">
        <v>0.26800000000000002</v>
      </c>
      <c r="F19" s="32">
        <v>0.25</v>
      </c>
      <c r="G19" s="32">
        <v>0.22600000000000001</v>
      </c>
      <c r="H19" s="32">
        <v>0.216</v>
      </c>
      <c r="I19" s="32">
        <v>0.188</v>
      </c>
      <c r="J19" s="32">
        <v>-1</v>
      </c>
      <c r="K19" s="32">
        <v>-1</v>
      </c>
      <c r="N19" s="5"/>
    </row>
    <row r="20" spans="1:14" x14ac:dyDescent="0.2">
      <c r="A20" s="50">
        <v>1988</v>
      </c>
      <c r="B20" s="32">
        <v>0.7</v>
      </c>
      <c r="C20" s="32">
        <v>0.72799999999999998</v>
      </c>
      <c r="D20" s="32">
        <v>0.36299999999999999</v>
      </c>
      <c r="E20" s="32">
        <v>0.29699999999999999</v>
      </c>
      <c r="F20" s="32">
        <v>0.26500000000000001</v>
      </c>
      <c r="G20" s="32">
        <v>0.246</v>
      </c>
      <c r="H20" s="32">
        <v>0.23699999999999999</v>
      </c>
      <c r="I20" s="32">
        <v>0.20300000000000001</v>
      </c>
      <c r="J20" s="32">
        <v>-1</v>
      </c>
      <c r="K20" s="32">
        <v>-1</v>
      </c>
      <c r="N20" s="5"/>
    </row>
    <row r="21" spans="1:14" x14ac:dyDescent="0.2">
      <c r="A21" s="50">
        <v>1989</v>
      </c>
      <c r="B21" s="32">
        <v>0.76500000000000001</v>
      </c>
      <c r="C21" s="32">
        <v>0.65200000000000002</v>
      </c>
      <c r="D21" s="32">
        <v>0.30299999999999999</v>
      </c>
      <c r="E21" s="32">
        <v>0.26900000000000002</v>
      </c>
      <c r="F21" s="32">
        <v>0.23400000000000001</v>
      </c>
      <c r="G21" s="32">
        <v>0.223</v>
      </c>
      <c r="H21" s="32">
        <v>0.223</v>
      </c>
      <c r="I21" s="32">
        <v>0.20599999999999999</v>
      </c>
      <c r="J21" s="32">
        <v>-1</v>
      </c>
      <c r="K21" s="32">
        <v>-1</v>
      </c>
      <c r="N21" s="5"/>
    </row>
    <row r="22" spans="1:14" x14ac:dyDescent="0.2">
      <c r="A22" s="50">
        <v>1990</v>
      </c>
      <c r="B22" s="32">
        <v>0.73</v>
      </c>
      <c r="C22" s="32">
        <v>0.69099999999999995</v>
      </c>
      <c r="D22" s="32">
        <v>0.30099999999999999</v>
      </c>
      <c r="E22" s="32">
        <v>0.27400000000000002</v>
      </c>
      <c r="F22" s="32">
        <v>0.252</v>
      </c>
      <c r="G22" s="32">
        <v>0.23599999999999999</v>
      </c>
      <c r="H22" s="32">
        <v>0.22900000000000001</v>
      </c>
      <c r="I22" s="32">
        <v>0.20699999999999999</v>
      </c>
      <c r="J22" s="32">
        <v>-1</v>
      </c>
      <c r="K22" s="32">
        <v>-1</v>
      </c>
      <c r="N22" s="5"/>
    </row>
    <row r="23" spans="1:14" x14ac:dyDescent="0.2">
      <c r="A23" s="50">
        <v>1991</v>
      </c>
      <c r="B23" s="32">
        <v>0.72199999999999998</v>
      </c>
      <c r="C23" s="32">
        <v>0.60099999999999998</v>
      </c>
      <c r="D23" s="32">
        <v>0.32300000000000001</v>
      </c>
      <c r="E23" s="32">
        <v>0.24099999999999999</v>
      </c>
      <c r="F23" s="32">
        <v>0.22500000000000001</v>
      </c>
      <c r="G23" s="32">
        <v>0.22</v>
      </c>
      <c r="H23" s="32">
        <v>0.21199999999999999</v>
      </c>
      <c r="I23" s="32">
        <v>0.191</v>
      </c>
      <c r="J23" s="32">
        <v>-1</v>
      </c>
      <c r="K23" s="32">
        <v>-1</v>
      </c>
    </row>
    <row r="24" spans="1:14" x14ac:dyDescent="0.2">
      <c r="A24" s="50">
        <v>1992</v>
      </c>
      <c r="B24" s="32">
        <v>0.68899999999999995</v>
      </c>
      <c r="C24" s="32">
        <v>0.57399999999999995</v>
      </c>
      <c r="D24" s="32">
        <v>0.3</v>
      </c>
      <c r="E24" s="32">
        <v>0.26600000000000001</v>
      </c>
      <c r="F24" s="32">
        <v>0.23899999999999999</v>
      </c>
      <c r="G24" s="32">
        <v>0.22500000000000001</v>
      </c>
      <c r="H24" s="32">
        <v>0.20799999999999999</v>
      </c>
      <c r="I24" s="32">
        <v>0.19400000000000001</v>
      </c>
      <c r="J24" s="32">
        <v>-1</v>
      </c>
      <c r="K24" s="32">
        <v>-1</v>
      </c>
    </row>
    <row r="25" spans="1:14" x14ac:dyDescent="0.2">
      <c r="A25" s="50">
        <v>1993</v>
      </c>
      <c r="B25" s="32">
        <v>0.67200000000000004</v>
      </c>
      <c r="C25" s="32">
        <v>0.56899999999999995</v>
      </c>
      <c r="D25" s="32">
        <v>0.33</v>
      </c>
      <c r="E25" s="32">
        <v>0.3</v>
      </c>
      <c r="F25" s="32">
        <v>0.26700000000000002</v>
      </c>
      <c r="G25" s="32">
        <v>0.24199999999999999</v>
      </c>
      <c r="H25" s="32">
        <v>0.23</v>
      </c>
      <c r="I25" s="32">
        <v>0.20799999999999999</v>
      </c>
      <c r="J25" s="32">
        <v>-1</v>
      </c>
      <c r="K25" s="32">
        <v>-1</v>
      </c>
    </row>
    <row r="26" spans="1:14" x14ac:dyDescent="0.2">
      <c r="A26" s="50">
        <v>1994</v>
      </c>
      <c r="B26" s="32">
        <v>0.66600000000000004</v>
      </c>
      <c r="C26" s="32">
        <v>0.56899999999999995</v>
      </c>
      <c r="D26" s="32">
        <v>0.311</v>
      </c>
      <c r="E26" s="32">
        <v>0.28699999999999998</v>
      </c>
      <c r="F26" s="32">
        <v>0.25900000000000001</v>
      </c>
      <c r="G26" s="32">
        <v>0.22800000000000001</v>
      </c>
      <c r="H26" s="32">
        <v>0.222</v>
      </c>
      <c r="I26" s="32">
        <v>0.21</v>
      </c>
      <c r="J26" s="32">
        <v>-1</v>
      </c>
      <c r="K26" s="32">
        <v>-1</v>
      </c>
    </row>
    <row r="27" spans="1:14" x14ac:dyDescent="0.2">
      <c r="A27" s="50">
        <v>1995</v>
      </c>
      <c r="B27" s="32">
        <v>0.72899999999999998</v>
      </c>
      <c r="C27" s="32">
        <v>0.53500000000000003</v>
      </c>
      <c r="D27" s="32">
        <v>0.33</v>
      </c>
      <c r="E27" s="32">
        <v>0.307</v>
      </c>
      <c r="F27" s="32">
        <v>0.30499999999999999</v>
      </c>
      <c r="G27" s="32">
        <v>0.26400000000000001</v>
      </c>
      <c r="H27" s="32">
        <v>0.254</v>
      </c>
      <c r="I27" s="32">
        <v>0.21</v>
      </c>
      <c r="J27" s="32">
        <v>-1</v>
      </c>
      <c r="K27" s="32">
        <v>-1</v>
      </c>
    </row>
    <row r="28" spans="1:14" x14ac:dyDescent="0.2">
      <c r="A28" s="50">
        <v>1996</v>
      </c>
      <c r="B28" s="32">
        <v>0.64300000000000002</v>
      </c>
      <c r="C28" s="32">
        <v>0.59699999999999998</v>
      </c>
      <c r="D28" s="32">
        <v>0.35199999999999998</v>
      </c>
      <c r="E28" s="32">
        <v>0.32500000000000001</v>
      </c>
      <c r="F28" s="32">
        <v>0.29899999999999999</v>
      </c>
      <c r="G28" s="32">
        <v>0.27900000000000003</v>
      </c>
      <c r="H28" s="32">
        <v>0.25</v>
      </c>
      <c r="I28" s="32">
        <v>0.22500000000000001</v>
      </c>
      <c r="J28" s="32">
        <v>-1</v>
      </c>
      <c r="K28" s="32">
        <v>-1</v>
      </c>
    </row>
    <row r="29" spans="1:14" x14ac:dyDescent="0.2">
      <c r="A29" s="50">
        <v>1997</v>
      </c>
      <c r="B29" s="32">
        <v>0.77100000000000002</v>
      </c>
      <c r="C29" s="32">
        <v>0.51300000000000001</v>
      </c>
      <c r="D29" s="32">
        <v>0.33500000000000002</v>
      </c>
      <c r="E29" s="32">
        <v>0.307</v>
      </c>
      <c r="F29" s="32">
        <v>0.27100000000000002</v>
      </c>
      <c r="G29" s="32">
        <v>0.247</v>
      </c>
      <c r="H29" s="32">
        <v>0.247</v>
      </c>
      <c r="I29" s="32">
        <v>0.23300000000000001</v>
      </c>
      <c r="J29" s="32">
        <v>-1</v>
      </c>
      <c r="K29" s="32">
        <v>-1</v>
      </c>
    </row>
    <row r="30" spans="1:14" x14ac:dyDescent="0.2">
      <c r="A30" s="50">
        <v>1998</v>
      </c>
      <c r="B30" s="32">
        <v>0.76</v>
      </c>
      <c r="C30" s="32">
        <v>0.57199999999999995</v>
      </c>
      <c r="D30" s="32">
        <v>0.372</v>
      </c>
      <c r="E30" s="32">
        <v>0.35</v>
      </c>
      <c r="F30" s="32">
        <v>0.29799999999999999</v>
      </c>
      <c r="G30" s="32">
        <v>0.28100000000000003</v>
      </c>
      <c r="H30" s="32">
        <v>0.27100000000000002</v>
      </c>
      <c r="I30" s="32">
        <v>0.224</v>
      </c>
      <c r="J30" s="32">
        <v>-1</v>
      </c>
      <c r="K30" s="32">
        <v>-1</v>
      </c>
    </row>
    <row r="31" spans="1:14" x14ac:dyDescent="0.2">
      <c r="A31" s="50">
        <v>1999</v>
      </c>
      <c r="B31" s="32">
        <v>0.72499999999999998</v>
      </c>
      <c r="C31" s="32">
        <v>0.63200000000000001</v>
      </c>
      <c r="D31" s="32">
        <v>0.33900000000000002</v>
      </c>
      <c r="E31" s="32">
        <v>0.31900000000000001</v>
      </c>
      <c r="F31" s="32">
        <v>0.27700000000000002</v>
      </c>
      <c r="G31" s="32">
        <v>0.26200000000000001</v>
      </c>
      <c r="H31" s="32">
        <v>0.246</v>
      </c>
      <c r="I31" s="32">
        <v>0.23200000000000001</v>
      </c>
      <c r="J31" s="32">
        <v>-1</v>
      </c>
      <c r="K31" s="32">
        <v>-1</v>
      </c>
    </row>
    <row r="32" spans="1:14" x14ac:dyDescent="0.2">
      <c r="A32" s="50">
        <v>2000</v>
      </c>
      <c r="B32" s="32">
        <v>0.71599999999999997</v>
      </c>
      <c r="C32" s="32">
        <v>0.499</v>
      </c>
      <c r="D32" s="32">
        <v>0.26600000000000001</v>
      </c>
      <c r="E32" s="32">
        <v>0.255</v>
      </c>
      <c r="F32" s="32">
        <v>0.251</v>
      </c>
      <c r="G32" s="32">
        <v>0.248</v>
      </c>
      <c r="H32" s="32">
        <v>0.22600000000000001</v>
      </c>
      <c r="I32" s="32">
        <v>0.20899999999999999</v>
      </c>
      <c r="J32" s="32">
        <v>-1</v>
      </c>
      <c r="K32" s="32">
        <v>-1</v>
      </c>
    </row>
    <row r="33" spans="1:11" x14ac:dyDescent="0.2">
      <c r="A33" s="50">
        <v>2001</v>
      </c>
      <c r="B33" s="32">
        <v>0.69799999999999995</v>
      </c>
      <c r="C33" s="32">
        <v>0.61199999999999999</v>
      </c>
      <c r="D33" s="32">
        <v>0.34899999999999998</v>
      </c>
      <c r="E33" s="32">
        <v>0.32600000000000001</v>
      </c>
      <c r="F33" s="32">
        <v>0.28100000000000003</v>
      </c>
      <c r="G33" s="32">
        <v>0.252</v>
      </c>
      <c r="H33" s="32">
        <v>0.252</v>
      </c>
      <c r="I33" s="32">
        <v>0.20300000000000001</v>
      </c>
      <c r="J33" s="32">
        <v>-1</v>
      </c>
      <c r="K33" s="32">
        <v>-1</v>
      </c>
    </row>
    <row r="34" spans="1:11" x14ac:dyDescent="0.2">
      <c r="A34" s="50">
        <v>2002</v>
      </c>
      <c r="B34" s="32">
        <v>0.85199999999999998</v>
      </c>
      <c r="C34" s="32">
        <v>0.63200000000000001</v>
      </c>
      <c r="D34" s="32">
        <v>0.39600000000000002</v>
      </c>
      <c r="E34" s="32">
        <v>0.34799999999999998</v>
      </c>
      <c r="F34" s="32">
        <v>0.28299999999999997</v>
      </c>
      <c r="G34" s="32">
        <v>0.25600000000000001</v>
      </c>
      <c r="H34" s="32">
        <v>0.25600000000000001</v>
      </c>
      <c r="I34" s="32">
        <v>0.23499999999999999</v>
      </c>
      <c r="J34" s="32">
        <v>-1</v>
      </c>
      <c r="K34" s="32">
        <v>-1</v>
      </c>
    </row>
    <row r="35" spans="1:11" x14ac:dyDescent="0.2">
      <c r="A35" s="50">
        <v>2003</v>
      </c>
      <c r="B35" s="32">
        <v>0.88600000000000001</v>
      </c>
      <c r="C35" s="32">
        <v>0.746</v>
      </c>
      <c r="D35" s="32">
        <v>0.41499999999999998</v>
      </c>
      <c r="E35" s="32">
        <v>0.34899999999999998</v>
      </c>
      <c r="F35" s="32">
        <v>0.30599999999999999</v>
      </c>
      <c r="G35" s="32">
        <v>0.30099999999999999</v>
      </c>
      <c r="H35" s="32">
        <v>0.28100000000000003</v>
      </c>
      <c r="I35" s="32">
        <v>0.24</v>
      </c>
      <c r="J35" s="32">
        <v>-1</v>
      </c>
      <c r="K35" s="32">
        <v>-1</v>
      </c>
    </row>
    <row r="36" spans="1:11" x14ac:dyDescent="0.2">
      <c r="A36" s="50">
        <v>2004</v>
      </c>
      <c r="B36" s="32">
        <v>0.83799999999999997</v>
      </c>
      <c r="C36" s="32">
        <v>0.72399999999999998</v>
      </c>
      <c r="D36" s="32">
        <v>0.44800000000000001</v>
      </c>
      <c r="E36" s="32">
        <v>0.38300000000000001</v>
      </c>
      <c r="F36" s="32">
        <v>0.36099999999999999</v>
      </c>
      <c r="G36" s="32">
        <v>0.33500000000000002</v>
      </c>
      <c r="H36" s="32">
        <v>0.32900000000000001</v>
      </c>
      <c r="I36" s="32">
        <v>0.318</v>
      </c>
      <c r="J36" s="32">
        <v>-1</v>
      </c>
      <c r="K36" s="32">
        <v>-1</v>
      </c>
    </row>
    <row r="37" spans="1:11" x14ac:dyDescent="0.2">
      <c r="A37" s="50">
        <v>2005</v>
      </c>
      <c r="B37" s="32">
        <v>0.85599999999999998</v>
      </c>
      <c r="C37" s="32">
        <v>0.73</v>
      </c>
      <c r="D37" s="32">
        <v>0.47599999999999998</v>
      </c>
      <c r="E37" s="32">
        <v>0.38900000000000001</v>
      </c>
      <c r="F37" s="32">
        <v>0.35899999999999999</v>
      </c>
      <c r="G37" s="32">
        <v>0.33500000000000002</v>
      </c>
      <c r="H37" s="32">
        <v>0.32</v>
      </c>
      <c r="I37" s="32">
        <v>0.309</v>
      </c>
      <c r="J37" s="32">
        <v>-1</v>
      </c>
      <c r="K37" s="32">
        <v>-1</v>
      </c>
    </row>
    <row r="38" spans="1:11" x14ac:dyDescent="0.2">
      <c r="A38" s="50">
        <v>2006</v>
      </c>
      <c r="B38" s="32">
        <v>0.80500000000000005</v>
      </c>
      <c r="C38" s="32">
        <v>0.63900000000000001</v>
      </c>
      <c r="D38" s="32">
        <v>0.39700000000000002</v>
      </c>
      <c r="E38" s="32">
        <v>0.379</v>
      </c>
      <c r="F38" s="32">
        <v>0.32200000000000001</v>
      </c>
      <c r="G38" s="32">
        <v>0.313</v>
      </c>
      <c r="H38" s="32">
        <v>0.312</v>
      </c>
      <c r="I38" s="32">
        <v>0.29499999999999998</v>
      </c>
      <c r="J38" s="32">
        <v>-1</v>
      </c>
      <c r="K38" s="32">
        <v>-1</v>
      </c>
    </row>
    <row r="39" spans="1:11" x14ac:dyDescent="0.2">
      <c r="A39" s="50">
        <v>2007</v>
      </c>
      <c r="B39" s="32">
        <v>0.80900000000000005</v>
      </c>
      <c r="C39" s="32">
        <v>0.64800000000000002</v>
      </c>
      <c r="D39" s="32">
        <v>0.42099999999999999</v>
      </c>
      <c r="E39" s="32">
        <v>0.374</v>
      </c>
      <c r="F39" s="32">
        <v>0.36299999999999999</v>
      </c>
      <c r="G39" s="32">
        <v>0.35099999999999998</v>
      </c>
      <c r="H39" s="32">
        <v>0.318</v>
      </c>
      <c r="I39" s="32">
        <v>0.28399999999999997</v>
      </c>
      <c r="J39" s="32">
        <v>-1</v>
      </c>
      <c r="K39" s="32">
        <v>-1</v>
      </c>
    </row>
    <row r="40" spans="1:11" x14ac:dyDescent="0.2">
      <c r="A40" s="50">
        <v>2008</v>
      </c>
      <c r="B40" s="32">
        <v>0.78200000000000003</v>
      </c>
      <c r="C40" s="32">
        <v>0.58399999999999996</v>
      </c>
      <c r="D40" s="32">
        <v>0.38300000000000001</v>
      </c>
      <c r="E40" s="32">
        <v>0.37</v>
      </c>
      <c r="F40" s="32">
        <v>0.34699999999999998</v>
      </c>
      <c r="G40" s="32">
        <v>0.33600000000000002</v>
      </c>
      <c r="H40" s="32">
        <v>0.317</v>
      </c>
      <c r="I40" s="32">
        <v>0.30499999999999999</v>
      </c>
      <c r="J40" s="32">
        <v>-1</v>
      </c>
      <c r="K40" s="32">
        <v>-1</v>
      </c>
    </row>
    <row r="41" spans="1:11" x14ac:dyDescent="0.2">
      <c r="A41" s="50">
        <v>2009</v>
      </c>
      <c r="B41" s="32">
        <v>0.70099999999999996</v>
      </c>
      <c r="C41" s="32">
        <v>0.51300000000000001</v>
      </c>
      <c r="D41" s="32">
        <v>0.314</v>
      </c>
      <c r="E41" s="32">
        <v>0.29599999999999999</v>
      </c>
      <c r="F41" s="32">
        <v>0.28199999999999997</v>
      </c>
      <c r="G41" s="32">
        <v>0.27900000000000003</v>
      </c>
      <c r="H41" s="32">
        <v>0.26500000000000001</v>
      </c>
      <c r="I41" s="32">
        <v>0.253</v>
      </c>
      <c r="J41" s="32">
        <v>-1</v>
      </c>
      <c r="K41" s="32">
        <v>-1</v>
      </c>
    </row>
    <row r="42" spans="1:11" x14ac:dyDescent="0.2">
      <c r="A42" s="50">
        <v>2010</v>
      </c>
      <c r="B42" s="32">
        <v>0.76600000000000001</v>
      </c>
      <c r="C42" s="32">
        <v>0.47899999999999998</v>
      </c>
      <c r="D42" s="32">
        <v>0.317</v>
      </c>
      <c r="E42" s="32">
        <v>0.28599999999999998</v>
      </c>
      <c r="F42" s="32">
        <v>0.27200000000000002</v>
      </c>
      <c r="G42" s="32">
        <v>0.26400000000000001</v>
      </c>
      <c r="H42" s="32">
        <v>0.251</v>
      </c>
      <c r="I42" s="32">
        <v>0.23899999999999999</v>
      </c>
      <c r="J42" s="32">
        <v>-1</v>
      </c>
      <c r="K42" s="32">
        <v>-1</v>
      </c>
    </row>
    <row r="43" spans="1:11" x14ac:dyDescent="0.2">
      <c r="A43" s="50">
        <v>2011</v>
      </c>
      <c r="B43" s="32">
        <v>0.90800000000000003</v>
      </c>
      <c r="C43" s="32">
        <v>0.60599999999999998</v>
      </c>
      <c r="D43" s="32">
        <v>0.36299999999999999</v>
      </c>
      <c r="E43" s="32">
        <v>0.33400000000000002</v>
      </c>
      <c r="F43" s="32">
        <v>0.318</v>
      </c>
      <c r="G43" s="32">
        <v>0.307</v>
      </c>
      <c r="H43" s="32">
        <v>0.29799999999999999</v>
      </c>
      <c r="I43" s="32">
        <v>0.27200000000000002</v>
      </c>
      <c r="J43" s="32">
        <v>-1</v>
      </c>
      <c r="K43" s="32">
        <v>-1</v>
      </c>
    </row>
    <row r="44" spans="1:11" x14ac:dyDescent="0.2">
      <c r="A44" s="50">
        <v>2012</v>
      </c>
      <c r="B44" s="32">
        <v>0.89600000000000002</v>
      </c>
      <c r="C44" s="32">
        <v>0.69199999999999995</v>
      </c>
      <c r="D44" s="32">
        <v>0.371</v>
      </c>
      <c r="E44" s="32">
        <v>0.33600000000000002</v>
      </c>
      <c r="F44" s="32">
        <v>0.313</v>
      </c>
      <c r="G44" s="32">
        <v>0.30099999999999999</v>
      </c>
      <c r="H44" s="32">
        <v>0.28899999999999998</v>
      </c>
      <c r="I44" s="32">
        <v>0.27200000000000002</v>
      </c>
      <c r="J44" s="32">
        <v>-1</v>
      </c>
      <c r="K44" s="32">
        <v>-1</v>
      </c>
    </row>
    <row r="45" spans="1:11" x14ac:dyDescent="0.2">
      <c r="A45" s="50">
        <v>2013</v>
      </c>
      <c r="B45" s="32">
        <v>0.76900000000000002</v>
      </c>
      <c r="C45" s="32">
        <v>0.59899999999999998</v>
      </c>
      <c r="D45" s="32">
        <v>0.375</v>
      </c>
      <c r="E45" s="32">
        <v>0.34300000000000003</v>
      </c>
      <c r="F45" s="32">
        <v>0.32100000000000001</v>
      </c>
      <c r="G45" s="32">
        <v>0.308</v>
      </c>
      <c r="H45" s="32">
        <v>0.29899999999999999</v>
      </c>
      <c r="I45" s="32">
        <v>0.27500000000000002</v>
      </c>
      <c r="J45" s="32">
        <v>-1</v>
      </c>
      <c r="K45" s="32">
        <v>-1</v>
      </c>
    </row>
  </sheetData>
  <pageMargins left="0.75" right="0.75" top="1" bottom="1" header="0.5" footer="0.5"/>
  <pageSetup paperSize="9" scale="85" orientation="portrait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74"/>
  <sheetViews>
    <sheetView zoomScaleNormal="100" workbookViewId="0">
      <selection activeCell="L20" sqref="L20:L21"/>
    </sheetView>
  </sheetViews>
  <sheetFormatPr defaultColWidth="8.85546875" defaultRowHeight="12.75" x14ac:dyDescent="0.2"/>
  <cols>
    <col min="1" max="1" width="8.85546875" style="49"/>
    <col min="2" max="4" width="8.85546875" customWidth="1"/>
    <col min="5" max="5" width="12.7109375" customWidth="1"/>
    <col min="6" max="6" width="10" customWidth="1"/>
  </cols>
  <sheetData>
    <row r="1" spans="1:12" x14ac:dyDescent="0.2">
      <c r="B1" s="6" t="s">
        <v>10</v>
      </c>
      <c r="E1" s="15">
        <f ca="1">NOW()</f>
        <v>42452.710744560187</v>
      </c>
      <c r="F1" s="16">
        <f ca="1">NOW()</f>
        <v>42452.710744560187</v>
      </c>
    </row>
    <row r="2" spans="1:12" x14ac:dyDescent="0.2">
      <c r="B2">
        <v>1</v>
      </c>
      <c r="C2">
        <v>6</v>
      </c>
    </row>
    <row r="3" spans="1:12" x14ac:dyDescent="0.2">
      <c r="B3" s="7">
        <f>caton!$B$3</f>
        <v>1947</v>
      </c>
      <c r="C3" s="11">
        <f>B3+COUNT(B6:B99)-1</f>
        <v>2015</v>
      </c>
    </row>
    <row r="4" spans="1:12" x14ac:dyDescent="0.2">
      <c r="B4">
        <v>0</v>
      </c>
      <c r="C4" s="30">
        <f>B4+COUNT(B20:AA20)-1</f>
        <v>9</v>
      </c>
    </row>
    <row r="5" spans="1:12" x14ac:dyDescent="0.2">
      <c r="B5">
        <v>1</v>
      </c>
    </row>
    <row r="6" spans="1:12" x14ac:dyDescent="0.2">
      <c r="A6" s="50">
        <v>1947</v>
      </c>
      <c r="B6">
        <v>0</v>
      </c>
      <c r="C6">
        <v>0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 s="34" t="s">
        <v>33</v>
      </c>
      <c r="L6" s="34" t="s">
        <v>20</v>
      </c>
    </row>
    <row r="7" spans="1:12" x14ac:dyDescent="0.2">
      <c r="A7" s="50">
        <v>1948</v>
      </c>
      <c r="B7">
        <v>0</v>
      </c>
      <c r="C7">
        <v>0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 s="34" t="s">
        <v>33</v>
      </c>
      <c r="L7" s="34" t="s">
        <v>21</v>
      </c>
    </row>
    <row r="8" spans="1:12" x14ac:dyDescent="0.2">
      <c r="A8" s="50">
        <v>1949</v>
      </c>
      <c r="B8">
        <v>0</v>
      </c>
      <c r="C8">
        <v>0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 s="34" t="s">
        <v>33</v>
      </c>
      <c r="L8" s="34" t="s">
        <v>22</v>
      </c>
    </row>
    <row r="9" spans="1:12" x14ac:dyDescent="0.2">
      <c r="A9" s="50">
        <v>1950</v>
      </c>
      <c r="B9">
        <v>0</v>
      </c>
      <c r="C9">
        <v>0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 s="34" t="s">
        <v>33</v>
      </c>
      <c r="L9" s="34" t="s">
        <v>23</v>
      </c>
    </row>
    <row r="10" spans="1:12" x14ac:dyDescent="0.2">
      <c r="A10" s="50">
        <v>1951</v>
      </c>
      <c r="B10">
        <v>0</v>
      </c>
      <c r="C10">
        <v>0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 s="34" t="s">
        <v>33</v>
      </c>
      <c r="L10" s="34" t="s">
        <v>24</v>
      </c>
    </row>
    <row r="11" spans="1:12" x14ac:dyDescent="0.2">
      <c r="A11" s="50">
        <v>1952</v>
      </c>
      <c r="B11">
        <v>0</v>
      </c>
      <c r="C11">
        <v>0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 s="34" t="s">
        <v>33</v>
      </c>
      <c r="L11" s="34" t="s">
        <v>25</v>
      </c>
    </row>
    <row r="12" spans="1:12" x14ac:dyDescent="0.2">
      <c r="A12" s="50">
        <v>1953</v>
      </c>
      <c r="B12">
        <v>0</v>
      </c>
      <c r="C12">
        <v>0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 s="34" t="s">
        <v>33</v>
      </c>
      <c r="L12" s="34" t="s">
        <v>26</v>
      </c>
    </row>
    <row r="13" spans="1:12" x14ac:dyDescent="0.2">
      <c r="A13" s="50">
        <v>1954</v>
      </c>
      <c r="B13">
        <v>0</v>
      </c>
      <c r="C13">
        <v>0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 s="34" t="s">
        <v>33</v>
      </c>
      <c r="L13" s="34" t="s">
        <v>27</v>
      </c>
    </row>
    <row r="14" spans="1:12" x14ac:dyDescent="0.2">
      <c r="A14" s="50">
        <v>1955</v>
      </c>
      <c r="B14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 s="34" t="s">
        <v>33</v>
      </c>
      <c r="L14" s="34" t="s">
        <v>28</v>
      </c>
    </row>
    <row r="15" spans="1:12" x14ac:dyDescent="0.2">
      <c r="A15" s="50">
        <v>1956</v>
      </c>
      <c r="B15">
        <v>0</v>
      </c>
      <c r="C15">
        <v>0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 s="34" t="s">
        <v>33</v>
      </c>
      <c r="L15" s="34" t="s">
        <v>29</v>
      </c>
    </row>
    <row r="16" spans="1:12" x14ac:dyDescent="0.2">
      <c r="A16" s="50">
        <v>1957</v>
      </c>
      <c r="B16">
        <v>0</v>
      </c>
      <c r="C16">
        <v>0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 s="34" t="s">
        <v>33</v>
      </c>
      <c r="L16" s="34" t="s">
        <v>30</v>
      </c>
    </row>
    <row r="17" spans="1:12" x14ac:dyDescent="0.2">
      <c r="A17" s="50">
        <v>1958</v>
      </c>
      <c r="B17">
        <v>0</v>
      </c>
      <c r="C17">
        <v>0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 s="34" t="s">
        <v>33</v>
      </c>
      <c r="L17" s="34" t="s">
        <v>31</v>
      </c>
    </row>
    <row r="18" spans="1:12" x14ac:dyDescent="0.2">
      <c r="A18" s="50">
        <v>1959</v>
      </c>
      <c r="B18">
        <v>0</v>
      </c>
      <c r="C18">
        <v>0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 s="34" t="s">
        <v>33</v>
      </c>
      <c r="L18" s="34" t="s">
        <v>32</v>
      </c>
    </row>
    <row r="19" spans="1:12" x14ac:dyDescent="0.2">
      <c r="A19" s="50">
        <v>1960</v>
      </c>
      <c r="B19">
        <v>0</v>
      </c>
      <c r="C19">
        <v>0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</row>
    <row r="20" spans="1:12" x14ac:dyDescent="0.2">
      <c r="A20" s="50">
        <v>1961</v>
      </c>
      <c r="B20">
        <v>0</v>
      </c>
      <c r="C20">
        <v>0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</row>
    <row r="21" spans="1:12" x14ac:dyDescent="0.2">
      <c r="A21" s="50">
        <v>1962</v>
      </c>
      <c r="B21">
        <v>0</v>
      </c>
      <c r="C21">
        <v>0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2" x14ac:dyDescent="0.2">
      <c r="A22" s="50">
        <v>1963</v>
      </c>
      <c r="B22">
        <v>0</v>
      </c>
      <c r="C22">
        <v>0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</row>
    <row r="23" spans="1:12" x14ac:dyDescent="0.2">
      <c r="A23" s="50">
        <v>1964</v>
      </c>
      <c r="B23">
        <v>0</v>
      </c>
      <c r="C23">
        <v>0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2" x14ac:dyDescent="0.2">
      <c r="A24" s="50">
        <v>1965</v>
      </c>
      <c r="B24">
        <v>0</v>
      </c>
      <c r="C24">
        <v>0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</row>
    <row r="25" spans="1:12" x14ac:dyDescent="0.2">
      <c r="A25" s="50">
        <v>1966</v>
      </c>
      <c r="B25">
        <v>0</v>
      </c>
      <c r="C25">
        <v>0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2" x14ac:dyDescent="0.2">
      <c r="A26" s="50">
        <v>1967</v>
      </c>
      <c r="B26">
        <v>0</v>
      </c>
      <c r="C26">
        <v>0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2" x14ac:dyDescent="0.2">
      <c r="A27" s="50">
        <v>1968</v>
      </c>
      <c r="B27">
        <v>0</v>
      </c>
      <c r="C27">
        <v>0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</row>
    <row r="28" spans="1:12" x14ac:dyDescent="0.2">
      <c r="A28" s="50">
        <v>1969</v>
      </c>
      <c r="B28">
        <v>0</v>
      </c>
      <c r="C28">
        <v>0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</row>
    <row r="29" spans="1:12" x14ac:dyDescent="0.2">
      <c r="A29" s="50">
        <v>1970</v>
      </c>
      <c r="B29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</row>
    <row r="30" spans="1:12" x14ac:dyDescent="0.2">
      <c r="A30" s="50">
        <v>1971</v>
      </c>
      <c r="B30">
        <v>0</v>
      </c>
      <c r="C30">
        <v>0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</row>
    <row r="31" spans="1:12" x14ac:dyDescent="0.2">
      <c r="A31" s="50">
        <v>1972</v>
      </c>
      <c r="B31">
        <v>0</v>
      </c>
      <c r="C31">
        <v>0</v>
      </c>
      <c r="D31">
        <v>0.82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</row>
    <row r="32" spans="1:12" x14ac:dyDescent="0.2">
      <c r="A32" s="50">
        <v>1973</v>
      </c>
      <c r="B32">
        <v>0</v>
      </c>
      <c r="C32">
        <v>0</v>
      </c>
      <c r="D32">
        <v>0.82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</row>
    <row r="33" spans="1:11" x14ac:dyDescent="0.2">
      <c r="A33" s="50">
        <v>1974</v>
      </c>
      <c r="B33">
        <v>0</v>
      </c>
      <c r="C33">
        <v>0</v>
      </c>
      <c r="D33">
        <v>0.82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</row>
    <row r="34" spans="1:11" x14ac:dyDescent="0.2">
      <c r="A34" s="50">
        <v>1975</v>
      </c>
      <c r="B34">
        <v>0</v>
      </c>
      <c r="C34">
        <v>0</v>
      </c>
      <c r="D34">
        <v>0.82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</row>
    <row r="35" spans="1:11" x14ac:dyDescent="0.2">
      <c r="A35" s="50">
        <v>1976</v>
      </c>
      <c r="B35">
        <v>0</v>
      </c>
      <c r="C35">
        <v>0</v>
      </c>
      <c r="D35">
        <v>0.82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</row>
    <row r="36" spans="1:11" x14ac:dyDescent="0.2">
      <c r="A36" s="50">
        <v>1977</v>
      </c>
      <c r="B36">
        <v>0</v>
      </c>
      <c r="C36">
        <v>0</v>
      </c>
      <c r="D36">
        <v>0.82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</row>
    <row r="37" spans="1:11" x14ac:dyDescent="0.2">
      <c r="A37" s="50">
        <v>1978</v>
      </c>
      <c r="B37" s="2">
        <v>0</v>
      </c>
      <c r="C37" s="2">
        <v>0</v>
      </c>
      <c r="D37" s="2">
        <v>0.82</v>
      </c>
      <c r="E37" s="2">
        <v>1</v>
      </c>
      <c r="F37" s="2">
        <v>1</v>
      </c>
      <c r="G37" s="2">
        <v>1</v>
      </c>
      <c r="H37" s="2">
        <v>1</v>
      </c>
      <c r="I37" s="2">
        <v>1</v>
      </c>
      <c r="J37" s="2">
        <v>1</v>
      </c>
      <c r="K37">
        <v>1</v>
      </c>
    </row>
    <row r="38" spans="1:11" x14ac:dyDescent="0.2">
      <c r="A38" s="50">
        <v>1979</v>
      </c>
      <c r="B38" s="2">
        <v>0</v>
      </c>
      <c r="C38" s="2">
        <v>0</v>
      </c>
      <c r="D38" s="2">
        <v>0.82</v>
      </c>
      <c r="E38" s="2">
        <v>1</v>
      </c>
      <c r="F38" s="2">
        <v>1</v>
      </c>
      <c r="G38" s="2">
        <v>1</v>
      </c>
      <c r="H38" s="2">
        <v>1</v>
      </c>
      <c r="I38" s="2">
        <v>1</v>
      </c>
      <c r="J38" s="2">
        <v>1</v>
      </c>
      <c r="K38">
        <v>1</v>
      </c>
    </row>
    <row r="39" spans="1:11" x14ac:dyDescent="0.2">
      <c r="A39" s="50">
        <v>1980</v>
      </c>
      <c r="B39" s="22">
        <v>0</v>
      </c>
      <c r="C39" s="22">
        <v>0</v>
      </c>
      <c r="D39" s="22">
        <v>0.82</v>
      </c>
      <c r="E39" s="22">
        <v>1</v>
      </c>
      <c r="F39" s="22">
        <v>1</v>
      </c>
      <c r="G39" s="2">
        <v>1</v>
      </c>
      <c r="H39" s="2">
        <v>1</v>
      </c>
      <c r="I39" s="2">
        <v>1</v>
      </c>
      <c r="J39" s="2">
        <v>1</v>
      </c>
      <c r="K39">
        <v>1</v>
      </c>
    </row>
    <row r="40" spans="1:11" x14ac:dyDescent="0.2">
      <c r="A40" s="50">
        <v>1981</v>
      </c>
      <c r="B40" s="22">
        <v>0</v>
      </c>
      <c r="C40" s="22">
        <v>0</v>
      </c>
      <c r="D40" s="22">
        <v>0.82</v>
      </c>
      <c r="E40" s="22">
        <v>1</v>
      </c>
      <c r="F40" s="22">
        <v>1</v>
      </c>
      <c r="G40" s="2">
        <v>1</v>
      </c>
      <c r="H40" s="2">
        <v>1</v>
      </c>
      <c r="I40" s="2">
        <v>1</v>
      </c>
      <c r="J40" s="2">
        <v>1</v>
      </c>
      <c r="K40">
        <v>1</v>
      </c>
    </row>
    <row r="41" spans="1:11" x14ac:dyDescent="0.2">
      <c r="A41" s="50">
        <v>1982</v>
      </c>
      <c r="B41" s="22">
        <v>0</v>
      </c>
      <c r="C41" s="22">
        <v>0</v>
      </c>
      <c r="D41" s="22">
        <v>0.82</v>
      </c>
      <c r="E41" s="22">
        <v>1</v>
      </c>
      <c r="F41" s="22">
        <v>1</v>
      </c>
      <c r="G41" s="2">
        <v>1</v>
      </c>
      <c r="H41" s="2">
        <v>1</v>
      </c>
      <c r="I41" s="2">
        <v>1</v>
      </c>
      <c r="J41" s="2">
        <v>1</v>
      </c>
      <c r="K41">
        <v>1</v>
      </c>
    </row>
    <row r="42" spans="1:11" x14ac:dyDescent="0.2">
      <c r="A42" s="50">
        <v>1983</v>
      </c>
      <c r="B42" s="22">
        <v>0</v>
      </c>
      <c r="C42" s="23">
        <v>0</v>
      </c>
      <c r="D42" s="23">
        <v>0.82</v>
      </c>
      <c r="E42" s="22">
        <v>1</v>
      </c>
      <c r="F42" s="22">
        <v>1</v>
      </c>
      <c r="G42" s="2">
        <v>1</v>
      </c>
      <c r="H42" s="2">
        <v>1</v>
      </c>
      <c r="I42" s="2">
        <v>1</v>
      </c>
      <c r="J42" s="2">
        <v>1</v>
      </c>
      <c r="K42">
        <v>1</v>
      </c>
    </row>
    <row r="43" spans="1:11" x14ac:dyDescent="0.2">
      <c r="A43" s="50">
        <v>1984</v>
      </c>
      <c r="B43" s="22">
        <v>0</v>
      </c>
      <c r="C43" s="23">
        <v>0</v>
      </c>
      <c r="D43" s="23">
        <v>0.82</v>
      </c>
      <c r="E43" s="22">
        <v>1</v>
      </c>
      <c r="F43" s="22">
        <v>1</v>
      </c>
      <c r="G43" s="2">
        <v>1</v>
      </c>
      <c r="H43" s="2">
        <v>1</v>
      </c>
      <c r="I43" s="2">
        <v>1</v>
      </c>
      <c r="J43" s="2">
        <v>1</v>
      </c>
      <c r="K43">
        <v>1</v>
      </c>
    </row>
    <row r="44" spans="1:11" x14ac:dyDescent="0.2">
      <c r="A44" s="50">
        <v>1985</v>
      </c>
      <c r="B44" s="22">
        <v>0</v>
      </c>
      <c r="C44" s="23">
        <v>0</v>
      </c>
      <c r="D44" s="23">
        <v>0.7</v>
      </c>
      <c r="E44" s="22">
        <v>1</v>
      </c>
      <c r="F44" s="22">
        <v>1</v>
      </c>
      <c r="G44" s="2">
        <v>1</v>
      </c>
      <c r="H44" s="2">
        <v>1</v>
      </c>
      <c r="I44" s="2">
        <v>1</v>
      </c>
      <c r="J44" s="2">
        <v>1</v>
      </c>
      <c r="K44">
        <v>1</v>
      </c>
    </row>
    <row r="45" spans="1:11" x14ac:dyDescent="0.2">
      <c r="A45" s="50">
        <v>1986</v>
      </c>
      <c r="B45" s="22">
        <v>0</v>
      </c>
      <c r="C45" s="23">
        <v>0</v>
      </c>
      <c r="D45" s="23">
        <v>0.75</v>
      </c>
      <c r="E45" s="22">
        <v>1</v>
      </c>
      <c r="F45" s="22">
        <v>1</v>
      </c>
      <c r="G45" s="2">
        <v>1</v>
      </c>
      <c r="H45" s="2">
        <v>1</v>
      </c>
      <c r="I45" s="2">
        <v>1</v>
      </c>
      <c r="J45" s="2">
        <v>1</v>
      </c>
      <c r="K45">
        <v>1</v>
      </c>
    </row>
    <row r="46" spans="1:11" x14ac:dyDescent="0.2">
      <c r="A46" s="50">
        <v>1987</v>
      </c>
      <c r="B46" s="22">
        <v>0</v>
      </c>
      <c r="C46" s="22">
        <v>0</v>
      </c>
      <c r="D46" s="22">
        <v>0.8</v>
      </c>
      <c r="E46" s="22">
        <v>1</v>
      </c>
      <c r="F46" s="22">
        <v>1</v>
      </c>
      <c r="G46" s="2">
        <v>1</v>
      </c>
      <c r="H46" s="2">
        <v>1</v>
      </c>
      <c r="I46" s="2">
        <v>1</v>
      </c>
      <c r="J46" s="2">
        <v>1</v>
      </c>
      <c r="K46">
        <v>1</v>
      </c>
    </row>
    <row r="47" spans="1:11" x14ac:dyDescent="0.2">
      <c r="A47" s="50">
        <v>1988</v>
      </c>
      <c r="B47" s="22">
        <v>0</v>
      </c>
      <c r="C47" s="22">
        <v>0</v>
      </c>
      <c r="D47" s="22">
        <v>0.85</v>
      </c>
      <c r="E47" s="22">
        <v>0.93</v>
      </c>
      <c r="F47" s="22">
        <v>1</v>
      </c>
      <c r="G47" s="2">
        <v>1</v>
      </c>
      <c r="H47" s="2">
        <v>1</v>
      </c>
      <c r="I47" s="2">
        <v>1</v>
      </c>
      <c r="J47" s="2">
        <v>1</v>
      </c>
      <c r="K47">
        <v>1</v>
      </c>
    </row>
    <row r="48" spans="1:11" x14ac:dyDescent="0.2">
      <c r="A48" s="50">
        <v>1989</v>
      </c>
      <c r="B48" s="2">
        <v>0</v>
      </c>
      <c r="C48" s="23">
        <v>0</v>
      </c>
      <c r="D48" s="23">
        <v>0.82</v>
      </c>
      <c r="E48" s="22">
        <v>0.94</v>
      </c>
      <c r="F48" s="22">
        <v>1</v>
      </c>
      <c r="G48" s="2">
        <v>1</v>
      </c>
      <c r="H48" s="2">
        <v>1</v>
      </c>
      <c r="I48" s="2">
        <v>1</v>
      </c>
      <c r="J48" s="2">
        <v>1</v>
      </c>
      <c r="K48">
        <v>1</v>
      </c>
    </row>
    <row r="49" spans="1:11" x14ac:dyDescent="0.2">
      <c r="A49" s="50">
        <v>1990</v>
      </c>
      <c r="B49" s="2">
        <v>0</v>
      </c>
      <c r="C49" s="23">
        <v>0</v>
      </c>
      <c r="D49" s="23">
        <v>0.91</v>
      </c>
      <c r="E49" s="22">
        <v>0.97</v>
      </c>
      <c r="F49" s="22">
        <v>1</v>
      </c>
      <c r="G49" s="22">
        <v>1</v>
      </c>
      <c r="H49" s="22">
        <v>1</v>
      </c>
      <c r="I49" s="22">
        <v>1</v>
      </c>
      <c r="J49" s="22">
        <v>1</v>
      </c>
      <c r="K49">
        <v>1</v>
      </c>
    </row>
    <row r="50" spans="1:11" x14ac:dyDescent="0.2">
      <c r="A50" s="50">
        <v>1991</v>
      </c>
      <c r="B50">
        <v>0</v>
      </c>
      <c r="C50">
        <v>0</v>
      </c>
      <c r="D50">
        <v>0.86</v>
      </c>
      <c r="E50">
        <v>0.99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</row>
    <row r="51" spans="1:11" x14ac:dyDescent="0.2">
      <c r="A51" s="50">
        <v>1992</v>
      </c>
      <c r="B51">
        <v>0</v>
      </c>
      <c r="C51">
        <v>0</v>
      </c>
      <c r="D51">
        <v>0.5</v>
      </c>
      <c r="E51">
        <v>0.99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</row>
    <row r="52" spans="1:11" x14ac:dyDescent="0.2">
      <c r="A52" s="50">
        <v>1993</v>
      </c>
      <c r="B52">
        <v>0</v>
      </c>
      <c r="C52">
        <v>0</v>
      </c>
      <c r="D52">
        <v>0.47</v>
      </c>
      <c r="E52">
        <v>0.61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</row>
    <row r="53" spans="1:11" x14ac:dyDescent="0.2">
      <c r="A53" s="50">
        <v>1994</v>
      </c>
      <c r="B53">
        <v>0</v>
      </c>
      <c r="C53">
        <v>0</v>
      </c>
      <c r="D53">
        <v>0.73</v>
      </c>
      <c r="E53">
        <v>0.93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</row>
    <row r="54" spans="1:11" x14ac:dyDescent="0.2">
      <c r="A54" s="50">
        <v>1995</v>
      </c>
      <c r="B54">
        <v>0</v>
      </c>
      <c r="C54">
        <v>0</v>
      </c>
      <c r="D54">
        <v>0.67</v>
      </c>
      <c r="E54">
        <v>0.95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</row>
    <row r="55" spans="1:11" x14ac:dyDescent="0.2">
      <c r="A55" s="50">
        <v>1996</v>
      </c>
      <c r="B55">
        <v>0</v>
      </c>
      <c r="C55">
        <v>0</v>
      </c>
      <c r="D55">
        <v>0.61</v>
      </c>
      <c r="E55">
        <v>0.98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</row>
    <row r="56" spans="1:11" x14ac:dyDescent="0.2">
      <c r="A56" s="50">
        <v>1997</v>
      </c>
      <c r="B56">
        <v>0</v>
      </c>
      <c r="C56">
        <v>0</v>
      </c>
      <c r="D56">
        <v>0.64</v>
      </c>
      <c r="E56">
        <v>0.94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</row>
    <row r="57" spans="1:11" x14ac:dyDescent="0.2">
      <c r="A57" s="50">
        <v>1998</v>
      </c>
      <c r="B57">
        <v>0</v>
      </c>
      <c r="C57">
        <v>0</v>
      </c>
      <c r="D57">
        <v>0.64</v>
      </c>
      <c r="E57">
        <v>0.89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</row>
    <row r="58" spans="1:11" x14ac:dyDescent="0.2">
      <c r="A58" s="50">
        <v>1999</v>
      </c>
      <c r="B58">
        <v>0</v>
      </c>
      <c r="C58">
        <v>0</v>
      </c>
      <c r="D58">
        <v>0.69</v>
      </c>
      <c r="E58">
        <v>0.91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</row>
    <row r="59" spans="1:11" x14ac:dyDescent="0.2">
      <c r="A59" s="50">
        <v>2000</v>
      </c>
      <c r="B59">
        <v>0</v>
      </c>
      <c r="C59">
        <v>0</v>
      </c>
      <c r="D59">
        <v>0.67</v>
      </c>
      <c r="E59">
        <v>0.96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</row>
    <row r="60" spans="1:11" x14ac:dyDescent="0.2">
      <c r="A60" s="50">
        <v>2001</v>
      </c>
      <c r="B60">
        <v>0</v>
      </c>
      <c r="C60">
        <v>0</v>
      </c>
      <c r="D60">
        <v>0.77</v>
      </c>
      <c r="E60">
        <v>0.92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</row>
    <row r="61" spans="1:11" x14ac:dyDescent="0.2">
      <c r="A61" s="50">
        <v>2002</v>
      </c>
      <c r="B61">
        <v>0</v>
      </c>
      <c r="C61">
        <v>0</v>
      </c>
      <c r="D61">
        <v>0.87</v>
      </c>
      <c r="E61">
        <v>0.97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</row>
    <row r="62" spans="1:11" x14ac:dyDescent="0.2">
      <c r="A62" s="50">
        <v>2003</v>
      </c>
      <c r="B62">
        <v>0</v>
      </c>
      <c r="C62">
        <v>0</v>
      </c>
      <c r="D62">
        <v>0.43</v>
      </c>
      <c r="E62">
        <v>0.93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</row>
    <row r="63" spans="1:11" x14ac:dyDescent="0.2">
      <c r="A63" s="50">
        <v>2004</v>
      </c>
      <c r="B63">
        <v>0</v>
      </c>
      <c r="C63">
        <v>0</v>
      </c>
      <c r="D63">
        <v>0.7</v>
      </c>
      <c r="E63">
        <v>0.65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</row>
    <row r="64" spans="1:11" x14ac:dyDescent="0.2">
      <c r="A64" s="50">
        <v>2005</v>
      </c>
      <c r="B64">
        <v>0</v>
      </c>
      <c r="C64">
        <v>0</v>
      </c>
      <c r="D64">
        <v>0.76</v>
      </c>
      <c r="E64">
        <v>0.96</v>
      </c>
      <c r="F64">
        <v>0.96</v>
      </c>
      <c r="G64">
        <v>1</v>
      </c>
      <c r="H64">
        <v>1</v>
      </c>
      <c r="I64">
        <v>1</v>
      </c>
      <c r="J64">
        <v>1</v>
      </c>
      <c r="K64">
        <v>1</v>
      </c>
    </row>
    <row r="65" spans="1:11" x14ac:dyDescent="0.2">
      <c r="A65" s="50">
        <v>2006</v>
      </c>
      <c r="B65">
        <v>0</v>
      </c>
      <c r="C65">
        <v>0</v>
      </c>
      <c r="D65">
        <v>0.66</v>
      </c>
      <c r="E65">
        <v>0.88</v>
      </c>
      <c r="F65">
        <v>0.98</v>
      </c>
      <c r="G65">
        <v>1</v>
      </c>
      <c r="H65">
        <v>1</v>
      </c>
      <c r="I65">
        <v>1</v>
      </c>
      <c r="J65">
        <v>1</v>
      </c>
      <c r="K65">
        <v>1</v>
      </c>
    </row>
    <row r="66" spans="1:11" x14ac:dyDescent="0.2">
      <c r="A66" s="50">
        <v>2007</v>
      </c>
      <c r="B66">
        <v>0</v>
      </c>
      <c r="C66">
        <v>0</v>
      </c>
      <c r="D66">
        <v>0.71</v>
      </c>
      <c r="E66">
        <v>0.92</v>
      </c>
      <c r="F66">
        <v>0.93</v>
      </c>
      <c r="G66">
        <v>1</v>
      </c>
      <c r="H66">
        <v>1</v>
      </c>
      <c r="I66">
        <v>1</v>
      </c>
      <c r="J66">
        <v>1</v>
      </c>
      <c r="K66">
        <v>1</v>
      </c>
    </row>
    <row r="67" spans="1:11" x14ac:dyDescent="0.2">
      <c r="A67" s="50">
        <v>2008</v>
      </c>
      <c r="B67">
        <v>0</v>
      </c>
      <c r="C67">
        <v>0</v>
      </c>
      <c r="D67">
        <v>0.86</v>
      </c>
      <c r="E67">
        <v>0.98</v>
      </c>
      <c r="F67">
        <v>0.99</v>
      </c>
      <c r="G67">
        <v>1</v>
      </c>
      <c r="H67">
        <v>1</v>
      </c>
      <c r="I67">
        <v>1</v>
      </c>
      <c r="J67">
        <v>1</v>
      </c>
      <c r="K67">
        <v>1</v>
      </c>
    </row>
    <row r="68" spans="1:11" x14ac:dyDescent="0.2">
      <c r="A68" s="50">
        <v>2009</v>
      </c>
      <c r="B68">
        <v>0</v>
      </c>
      <c r="C68">
        <v>0</v>
      </c>
      <c r="D68">
        <v>0.89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</row>
    <row r="69" spans="1:11" x14ac:dyDescent="0.2">
      <c r="A69" s="50">
        <v>2010</v>
      </c>
      <c r="B69">
        <v>0</v>
      </c>
      <c r="C69">
        <v>0</v>
      </c>
      <c r="D69">
        <v>0.45</v>
      </c>
      <c r="E69">
        <v>0.9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</row>
    <row r="70" spans="1:11" x14ac:dyDescent="0.2">
      <c r="A70" s="50">
        <v>2011</v>
      </c>
      <c r="B70">
        <v>0</v>
      </c>
      <c r="C70">
        <v>0</v>
      </c>
      <c r="D70">
        <v>0.87</v>
      </c>
      <c r="E70">
        <v>0.84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</row>
    <row r="71" spans="1:11" x14ac:dyDescent="0.2">
      <c r="A71" s="50">
        <v>2012</v>
      </c>
      <c r="B71">
        <v>0</v>
      </c>
      <c r="C71">
        <v>0</v>
      </c>
      <c r="D71">
        <v>0.91</v>
      </c>
      <c r="E71">
        <v>0.99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</row>
    <row r="72" spans="1:11" x14ac:dyDescent="0.2">
      <c r="A72" s="50">
        <v>2013</v>
      </c>
      <c r="B72">
        <v>0</v>
      </c>
      <c r="C72">
        <v>0</v>
      </c>
      <c r="D72">
        <v>0.83</v>
      </c>
      <c r="E72">
        <v>0.96</v>
      </c>
      <c r="F72">
        <v>0.98</v>
      </c>
      <c r="G72">
        <v>1</v>
      </c>
      <c r="H72">
        <v>1</v>
      </c>
      <c r="I72">
        <v>1</v>
      </c>
      <c r="J72">
        <v>1</v>
      </c>
      <c r="K72">
        <v>1</v>
      </c>
    </row>
    <row r="73" spans="1:11" x14ac:dyDescent="0.2">
      <c r="A73" s="50">
        <v>2014</v>
      </c>
      <c r="B73">
        <v>0</v>
      </c>
      <c r="C73">
        <v>0</v>
      </c>
      <c r="D73">
        <v>0.85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</row>
    <row r="74" spans="1:11" x14ac:dyDescent="0.2">
      <c r="A74" s="50">
        <v>2015</v>
      </c>
      <c r="B74" s="55">
        <v>0</v>
      </c>
      <c r="C74" s="55">
        <v>0</v>
      </c>
      <c r="D74" s="55">
        <v>0.7</v>
      </c>
      <c r="E74" s="55">
        <v>0.9</v>
      </c>
      <c r="F74" s="55">
        <v>0.96</v>
      </c>
      <c r="G74" s="55">
        <v>0.98</v>
      </c>
      <c r="H74" s="55">
        <v>0.99</v>
      </c>
      <c r="I74" s="55">
        <v>1</v>
      </c>
      <c r="J74" s="55">
        <v>1</v>
      </c>
      <c r="K74" s="55">
        <v>1</v>
      </c>
    </row>
  </sheetData>
  <phoneticPr fontId="0" type="noConversion"/>
  <pageMargins left="0.75" right="0.75" top="1" bottom="1" header="0.5" footer="0.5"/>
  <pageSetup paperSize="9" scale="85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74"/>
  <sheetViews>
    <sheetView zoomScaleNormal="100" workbookViewId="0">
      <selection activeCell="A74" sqref="A74"/>
    </sheetView>
  </sheetViews>
  <sheetFormatPr defaultColWidth="8.85546875" defaultRowHeight="12.75" x14ac:dyDescent="0.2"/>
  <cols>
    <col min="1" max="1" width="8.85546875" style="49"/>
    <col min="2" max="5" width="8.85546875" customWidth="1"/>
    <col min="6" max="6" width="10.42578125" customWidth="1"/>
  </cols>
  <sheetData>
    <row r="1" spans="2:7" x14ac:dyDescent="0.2">
      <c r="B1" s="6" t="s">
        <v>5</v>
      </c>
      <c r="F1" s="15">
        <f ca="1">NOW()</f>
        <v>42452.710744560187</v>
      </c>
      <c r="G1" s="16">
        <f ca="1">NOW()</f>
        <v>42452.710744560187</v>
      </c>
    </row>
    <row r="2" spans="2:7" x14ac:dyDescent="0.2">
      <c r="B2" s="10">
        <v>1</v>
      </c>
      <c r="C2" s="7">
        <v>7</v>
      </c>
    </row>
    <row r="3" spans="2:7" x14ac:dyDescent="0.2">
      <c r="B3" s="7">
        <f>caton!$B$3</f>
        <v>1947</v>
      </c>
      <c r="C3" s="14">
        <f>west!C3</f>
        <v>2015</v>
      </c>
    </row>
    <row r="4" spans="2:7" x14ac:dyDescent="0.2">
      <c r="B4" s="7">
        <v>0</v>
      </c>
      <c r="C4" s="7">
        <v>9</v>
      </c>
    </row>
    <row r="5" spans="2:7" x14ac:dyDescent="0.2">
      <c r="B5" s="7">
        <v>3</v>
      </c>
      <c r="C5" s="7"/>
    </row>
    <row r="6" spans="2:7" x14ac:dyDescent="0.2">
      <c r="B6">
        <v>0.67</v>
      </c>
    </row>
    <row r="74" spans="1:1" x14ac:dyDescent="0.2">
      <c r="A74" s="50"/>
    </row>
  </sheetData>
  <phoneticPr fontId="0" type="noConversion"/>
  <pageMargins left="0.75" right="0.75" top="1" bottom="1" header="0.5" footer="0.5"/>
  <pageSetup paperSize="9" orientation="portrait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74"/>
  <sheetViews>
    <sheetView zoomScaleNormal="100" workbookViewId="0">
      <selection activeCell="A74" sqref="A74"/>
    </sheetView>
  </sheetViews>
  <sheetFormatPr defaultColWidth="8.85546875" defaultRowHeight="12.75" x14ac:dyDescent="0.2"/>
  <cols>
    <col min="1" max="1" width="8.85546875" style="49"/>
    <col min="2" max="5" width="8.85546875" customWidth="1"/>
    <col min="6" max="6" width="10.140625" customWidth="1"/>
  </cols>
  <sheetData>
    <row r="1" spans="2:7" x14ac:dyDescent="0.2">
      <c r="B1" t="s">
        <v>4</v>
      </c>
      <c r="F1" s="15">
        <f ca="1">NOW()</f>
        <v>42452.710744560187</v>
      </c>
      <c r="G1" s="16">
        <f ca="1">NOW()</f>
        <v>42452.710744560187</v>
      </c>
    </row>
    <row r="2" spans="2:7" x14ac:dyDescent="0.2">
      <c r="B2">
        <v>1</v>
      </c>
      <c r="C2">
        <v>8</v>
      </c>
    </row>
    <row r="3" spans="2:7" x14ac:dyDescent="0.2">
      <c r="B3" s="7">
        <f>caton!$B$3</f>
        <v>1947</v>
      </c>
      <c r="C3" s="14">
        <f>west!C3</f>
        <v>2015</v>
      </c>
    </row>
    <row r="4" spans="2:7" x14ac:dyDescent="0.2">
      <c r="B4">
        <v>0</v>
      </c>
      <c r="C4">
        <v>9</v>
      </c>
    </row>
    <row r="5" spans="2:7" x14ac:dyDescent="0.2">
      <c r="B5">
        <v>3</v>
      </c>
    </row>
    <row r="6" spans="2:7" x14ac:dyDescent="0.2">
      <c r="B6">
        <v>0.67</v>
      </c>
    </row>
    <row r="74" spans="1:1" x14ac:dyDescent="0.2">
      <c r="A74" s="50"/>
    </row>
  </sheetData>
  <phoneticPr fontId="0" type="noConversion"/>
  <pageMargins left="0.75" right="0.75" top="1" bottom="1" header="0.5" footer="0.5"/>
  <pageSetup paperSize="9" orientation="portrait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C100"/>
  <sheetViews>
    <sheetView topLeftCell="A78" zoomScaleNormal="100" workbookViewId="0">
      <selection activeCell="C72" sqref="C72"/>
    </sheetView>
  </sheetViews>
  <sheetFormatPr defaultColWidth="8.85546875" defaultRowHeight="12.75" x14ac:dyDescent="0.2"/>
  <cols>
    <col min="1" max="1" width="8.85546875" style="51"/>
    <col min="2" max="2" width="8.85546875" style="32" customWidth="1"/>
    <col min="3" max="3" width="11.28515625" style="32" customWidth="1"/>
    <col min="4" max="4" width="11" style="32" customWidth="1"/>
    <col min="5" max="16384" width="8.85546875" style="32"/>
  </cols>
  <sheetData>
    <row r="1" spans="1:11" x14ac:dyDescent="0.2">
      <c r="B1" s="32" t="s">
        <v>3</v>
      </c>
    </row>
    <row r="2" spans="1:11" x14ac:dyDescent="0.2">
      <c r="B2" s="32">
        <v>103</v>
      </c>
    </row>
    <row r="3" spans="1:11" x14ac:dyDescent="0.2">
      <c r="B3" s="32" t="s">
        <v>52</v>
      </c>
    </row>
    <row r="4" spans="1:11" x14ac:dyDescent="0.2">
      <c r="B4" s="32">
        <v>1989</v>
      </c>
      <c r="C4" s="6">
        <f>B4+COUNT(B7:B32)</f>
        <v>2015</v>
      </c>
    </row>
    <row r="5" spans="1:11" x14ac:dyDescent="0.2">
      <c r="B5" s="32">
        <v>1</v>
      </c>
      <c r="C5" s="32">
        <v>1</v>
      </c>
      <c r="D5" s="32">
        <v>0.54</v>
      </c>
      <c r="E5" s="32">
        <v>0.56000000000000005</v>
      </c>
    </row>
    <row r="6" spans="1:11" x14ac:dyDescent="0.2">
      <c r="B6" s="32">
        <v>1</v>
      </c>
      <c r="C6" s="32">
        <v>9</v>
      </c>
    </row>
    <row r="7" spans="1:11" x14ac:dyDescent="0.2">
      <c r="A7" s="51">
        <f>B4</f>
        <v>1989</v>
      </c>
      <c r="B7" s="32">
        <v>1</v>
      </c>
      <c r="C7" s="32">
        <v>-1</v>
      </c>
      <c r="D7" s="32">
        <v>4090000</v>
      </c>
      <c r="E7" s="32">
        <v>3903000</v>
      </c>
      <c r="F7" s="32">
        <v>1633000</v>
      </c>
      <c r="G7" s="32">
        <v>492000</v>
      </c>
      <c r="H7" s="32">
        <v>283000</v>
      </c>
      <c r="I7" s="32">
        <v>120000</v>
      </c>
      <c r="J7" s="32">
        <v>44000</v>
      </c>
      <c r="K7" s="32">
        <v>22000</v>
      </c>
    </row>
    <row r="8" spans="1:11" x14ac:dyDescent="0.2">
      <c r="A8" s="51">
        <f>A7+1</f>
        <v>1990</v>
      </c>
      <c r="B8" s="32">
        <v>1</v>
      </c>
      <c r="C8" s="32">
        <v>-1</v>
      </c>
      <c r="D8" s="32">
        <v>3306000</v>
      </c>
      <c r="E8" s="32">
        <v>3521000</v>
      </c>
      <c r="F8" s="32">
        <v>3414000</v>
      </c>
      <c r="G8" s="32">
        <v>1366000</v>
      </c>
      <c r="H8" s="32">
        <v>392000</v>
      </c>
      <c r="I8" s="32">
        <v>210000</v>
      </c>
      <c r="J8" s="32">
        <v>133000</v>
      </c>
      <c r="K8" s="32">
        <v>43000</v>
      </c>
    </row>
    <row r="9" spans="1:11" x14ac:dyDescent="0.2">
      <c r="A9" s="51">
        <f t="shared" ref="A9:A32" si="0">A8+1</f>
        <v>1991</v>
      </c>
      <c r="B9" s="32">
        <v>1</v>
      </c>
      <c r="C9" s="32">
        <v>-1</v>
      </c>
      <c r="D9" s="32">
        <v>2634000</v>
      </c>
      <c r="E9" s="32">
        <v>1700000</v>
      </c>
      <c r="F9" s="32">
        <v>1959000</v>
      </c>
      <c r="G9" s="32">
        <v>1849000</v>
      </c>
      <c r="H9" s="32">
        <v>644000</v>
      </c>
      <c r="I9" s="32">
        <v>228000</v>
      </c>
      <c r="J9" s="32">
        <v>94000</v>
      </c>
      <c r="K9" s="32">
        <v>51000</v>
      </c>
    </row>
    <row r="10" spans="1:11" x14ac:dyDescent="0.2">
      <c r="A10" s="51">
        <f t="shared" si="0"/>
        <v>1992</v>
      </c>
      <c r="B10" s="32">
        <v>1</v>
      </c>
      <c r="C10" s="32">
        <v>-1</v>
      </c>
      <c r="D10" s="32">
        <v>3734000</v>
      </c>
      <c r="E10" s="32">
        <v>1378000</v>
      </c>
      <c r="F10" s="32">
        <v>1147000</v>
      </c>
      <c r="G10" s="32">
        <v>1134000</v>
      </c>
      <c r="H10" s="32">
        <v>1246000</v>
      </c>
      <c r="I10" s="32">
        <v>395000</v>
      </c>
      <c r="J10" s="32">
        <v>114000</v>
      </c>
      <c r="K10" s="32">
        <v>104000</v>
      </c>
    </row>
    <row r="11" spans="1:11" x14ac:dyDescent="0.2">
      <c r="A11" s="51">
        <f t="shared" si="0"/>
        <v>1993</v>
      </c>
      <c r="B11" s="32">
        <v>1</v>
      </c>
      <c r="C11" s="32">
        <v>-1</v>
      </c>
      <c r="D11" s="32">
        <v>2984000</v>
      </c>
      <c r="E11" s="32">
        <v>1637000</v>
      </c>
      <c r="F11" s="32">
        <v>902000</v>
      </c>
      <c r="G11" s="32">
        <v>741000</v>
      </c>
      <c r="H11" s="32">
        <v>777000</v>
      </c>
      <c r="I11" s="32">
        <v>551000</v>
      </c>
      <c r="J11" s="32">
        <v>180000</v>
      </c>
      <c r="K11" s="32">
        <v>116000</v>
      </c>
    </row>
    <row r="12" spans="1:11" x14ac:dyDescent="0.2">
      <c r="A12" s="51">
        <f t="shared" si="0"/>
        <v>1994</v>
      </c>
      <c r="B12" s="32">
        <v>1</v>
      </c>
      <c r="C12" s="32">
        <v>-1</v>
      </c>
      <c r="D12" s="32">
        <v>3185000</v>
      </c>
      <c r="E12" s="32">
        <v>839000</v>
      </c>
      <c r="F12" s="32">
        <v>399000</v>
      </c>
      <c r="G12" s="32">
        <v>381000</v>
      </c>
      <c r="H12" s="32">
        <v>321000</v>
      </c>
      <c r="I12" s="32">
        <v>326000</v>
      </c>
      <c r="J12" s="32">
        <v>219000</v>
      </c>
      <c r="K12" s="32">
        <v>131000</v>
      </c>
    </row>
    <row r="13" spans="1:11" x14ac:dyDescent="0.2">
      <c r="A13" s="51">
        <f t="shared" si="0"/>
        <v>1995</v>
      </c>
      <c r="B13" s="32">
        <v>1</v>
      </c>
      <c r="C13" s="32">
        <v>-1</v>
      </c>
      <c r="D13" s="32">
        <v>3849000</v>
      </c>
      <c r="E13" s="32">
        <v>2041000</v>
      </c>
      <c r="F13" s="32">
        <v>672000</v>
      </c>
      <c r="G13" s="32">
        <v>299000</v>
      </c>
      <c r="H13" s="32">
        <v>203000</v>
      </c>
      <c r="I13" s="32">
        <v>138000</v>
      </c>
      <c r="J13" s="32">
        <v>119000</v>
      </c>
      <c r="K13" s="32">
        <v>93000</v>
      </c>
    </row>
    <row r="14" spans="1:11" x14ac:dyDescent="0.2">
      <c r="A14" s="51">
        <f t="shared" si="0"/>
        <v>1996</v>
      </c>
      <c r="B14" s="32">
        <v>1</v>
      </c>
      <c r="C14" s="32">
        <v>-1</v>
      </c>
      <c r="D14" s="32">
        <v>4497000</v>
      </c>
      <c r="E14" s="32">
        <v>2824000</v>
      </c>
      <c r="F14" s="32">
        <v>1087000</v>
      </c>
      <c r="G14" s="32">
        <v>311000</v>
      </c>
      <c r="H14" s="32">
        <v>99000</v>
      </c>
      <c r="I14" s="32">
        <v>83000</v>
      </c>
      <c r="J14" s="32">
        <v>133000</v>
      </c>
      <c r="K14" s="32">
        <v>206000</v>
      </c>
    </row>
    <row r="15" spans="1:11" x14ac:dyDescent="0.2">
      <c r="A15" s="51">
        <f t="shared" si="0"/>
        <v>1997</v>
      </c>
      <c r="B15" s="32">
        <v>1</v>
      </c>
      <c r="C15" s="32">
        <v>9361000</v>
      </c>
      <c r="D15" s="32">
        <v>5960000</v>
      </c>
      <c r="E15" s="32">
        <v>2935000</v>
      </c>
      <c r="F15" s="32">
        <v>1441000</v>
      </c>
      <c r="G15" s="32">
        <v>601000</v>
      </c>
      <c r="H15" s="32">
        <v>215000</v>
      </c>
      <c r="I15" s="32">
        <v>46000</v>
      </c>
      <c r="J15" s="32">
        <v>78000</v>
      </c>
      <c r="K15" s="32">
        <v>159000</v>
      </c>
    </row>
    <row r="16" spans="1:11" x14ac:dyDescent="0.2">
      <c r="A16" s="51">
        <f t="shared" si="0"/>
        <v>1998</v>
      </c>
      <c r="B16" s="32">
        <v>1</v>
      </c>
      <c r="C16" s="32">
        <v>4449000</v>
      </c>
      <c r="D16" s="32">
        <v>5747000</v>
      </c>
      <c r="E16" s="32">
        <v>2520000</v>
      </c>
      <c r="F16" s="32">
        <v>1625000</v>
      </c>
      <c r="G16" s="32">
        <v>982000</v>
      </c>
      <c r="H16" s="32">
        <v>445000</v>
      </c>
      <c r="I16" s="32">
        <v>170000</v>
      </c>
      <c r="J16" s="32">
        <v>45000</v>
      </c>
      <c r="K16" s="32">
        <v>121000</v>
      </c>
    </row>
    <row r="17" spans="1:29" x14ac:dyDescent="0.2">
      <c r="A17" s="51">
        <f t="shared" si="0"/>
        <v>1999</v>
      </c>
      <c r="B17" s="32">
        <v>1</v>
      </c>
      <c r="C17" s="32">
        <v>5087000</v>
      </c>
      <c r="D17" s="32">
        <v>3078000</v>
      </c>
      <c r="E17" s="32">
        <v>4725000</v>
      </c>
      <c r="F17" s="32">
        <v>1116000</v>
      </c>
      <c r="G17" s="32">
        <v>506000</v>
      </c>
      <c r="H17" s="32">
        <v>314000</v>
      </c>
      <c r="I17" s="32">
        <v>139000</v>
      </c>
      <c r="J17" s="32">
        <v>54000</v>
      </c>
      <c r="K17" s="32">
        <v>87000</v>
      </c>
    </row>
    <row r="18" spans="1:29" x14ac:dyDescent="0.2">
      <c r="A18" s="51">
        <f t="shared" si="0"/>
        <v>2000</v>
      </c>
      <c r="B18" s="32">
        <v>1</v>
      </c>
      <c r="C18" s="32">
        <v>24736000</v>
      </c>
      <c r="D18" s="32">
        <v>2923000</v>
      </c>
      <c r="E18" s="32">
        <v>2156000</v>
      </c>
      <c r="F18" s="32">
        <v>3140000</v>
      </c>
      <c r="G18" s="32">
        <v>1007000</v>
      </c>
      <c r="H18" s="32">
        <v>483000</v>
      </c>
      <c r="I18" s="32">
        <v>266000</v>
      </c>
      <c r="J18" s="32">
        <v>120000</v>
      </c>
      <c r="K18" s="32">
        <v>97000</v>
      </c>
    </row>
    <row r="19" spans="1:29" x14ac:dyDescent="0.2">
      <c r="A19" s="51">
        <f t="shared" si="0"/>
        <v>2001</v>
      </c>
      <c r="B19" s="32">
        <v>1</v>
      </c>
      <c r="C19" s="32">
        <v>6837000</v>
      </c>
      <c r="D19" s="32">
        <v>12290000</v>
      </c>
      <c r="E19" s="32">
        <v>3083000</v>
      </c>
      <c r="F19" s="32">
        <v>1462000</v>
      </c>
      <c r="G19" s="32">
        <v>1676000</v>
      </c>
      <c r="H19" s="32">
        <v>450000</v>
      </c>
      <c r="I19" s="32">
        <v>170000</v>
      </c>
      <c r="J19" s="32">
        <v>98000</v>
      </c>
      <c r="K19" s="32">
        <v>59000</v>
      </c>
    </row>
    <row r="20" spans="1:29" x14ac:dyDescent="0.2">
      <c r="A20" s="51">
        <f t="shared" si="0"/>
        <v>2002</v>
      </c>
      <c r="B20" s="32">
        <v>1</v>
      </c>
      <c r="C20" s="32">
        <v>23055000</v>
      </c>
      <c r="D20" s="32">
        <v>4875000</v>
      </c>
      <c r="E20" s="32">
        <v>8220000</v>
      </c>
      <c r="F20" s="32">
        <v>1390000</v>
      </c>
      <c r="G20" s="32">
        <v>794600</v>
      </c>
      <c r="H20" s="32">
        <v>1031000</v>
      </c>
      <c r="I20" s="32">
        <v>244400</v>
      </c>
      <c r="J20" s="32">
        <v>121000</v>
      </c>
      <c r="K20" s="32">
        <v>149500</v>
      </c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29" x14ac:dyDescent="0.2">
      <c r="A21" s="51">
        <f t="shared" si="0"/>
        <v>2003</v>
      </c>
      <c r="B21" s="32">
        <v>1</v>
      </c>
      <c r="C21" s="32">
        <v>9829400</v>
      </c>
      <c r="D21" s="32">
        <v>18949400</v>
      </c>
      <c r="E21" s="32">
        <v>3081000</v>
      </c>
      <c r="F21" s="32">
        <v>4188900</v>
      </c>
      <c r="G21" s="32">
        <v>675100</v>
      </c>
      <c r="H21" s="32">
        <v>494800</v>
      </c>
      <c r="I21" s="32">
        <v>568300</v>
      </c>
      <c r="J21" s="32">
        <v>145500</v>
      </c>
      <c r="K21" s="32">
        <v>177700</v>
      </c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</row>
    <row r="22" spans="1:29" x14ac:dyDescent="0.2">
      <c r="A22" s="51">
        <f t="shared" si="0"/>
        <v>2004</v>
      </c>
      <c r="B22" s="32">
        <v>1</v>
      </c>
      <c r="C22" s="32">
        <v>5183700</v>
      </c>
      <c r="D22" s="32">
        <v>3415900</v>
      </c>
      <c r="E22" s="32">
        <v>9191800</v>
      </c>
      <c r="F22" s="32">
        <v>2167300</v>
      </c>
      <c r="G22" s="32">
        <v>2590700</v>
      </c>
      <c r="H22" s="32">
        <v>317100</v>
      </c>
      <c r="I22" s="32">
        <v>327600</v>
      </c>
      <c r="J22" s="32">
        <v>342050</v>
      </c>
      <c r="K22" s="32">
        <v>185600</v>
      </c>
      <c r="O22" s="42"/>
      <c r="Q22" s="42"/>
      <c r="R22" s="42"/>
      <c r="S22" s="42"/>
      <c r="T22" s="42"/>
      <c r="U22" s="42"/>
      <c r="V22" s="42"/>
      <c r="X22" s="42"/>
      <c r="Y22" s="42"/>
      <c r="Z22" s="42"/>
      <c r="AA22" s="42"/>
      <c r="AB22" s="42"/>
      <c r="AC22" s="42"/>
    </row>
    <row r="23" spans="1:29" x14ac:dyDescent="0.2">
      <c r="A23" s="51">
        <f t="shared" si="0"/>
        <v>2005</v>
      </c>
      <c r="B23" s="32">
        <v>1</v>
      </c>
      <c r="C23" s="32">
        <v>3114100</v>
      </c>
      <c r="D23" s="32">
        <v>2055100</v>
      </c>
      <c r="E23" s="32">
        <v>3648500</v>
      </c>
      <c r="F23" s="32">
        <v>5789600</v>
      </c>
      <c r="G23" s="32">
        <v>1212900</v>
      </c>
      <c r="H23" s="32">
        <v>1174900</v>
      </c>
      <c r="I23" s="32">
        <v>139900</v>
      </c>
      <c r="J23" s="32">
        <v>126500</v>
      </c>
      <c r="K23" s="32">
        <v>106700</v>
      </c>
      <c r="R23" s="42"/>
      <c r="S23" s="42"/>
      <c r="T23" s="42"/>
      <c r="U23" s="42"/>
      <c r="Y23" s="42"/>
      <c r="Z23" s="42"/>
      <c r="AA23" s="42"/>
      <c r="AB23" s="42"/>
      <c r="AC23" s="42"/>
    </row>
    <row r="24" spans="1:29" x14ac:dyDescent="0.2">
      <c r="A24" s="51">
        <f t="shared" si="0"/>
        <v>2006</v>
      </c>
      <c r="B24" s="32">
        <v>1</v>
      </c>
      <c r="C24" s="32">
        <v>6822800</v>
      </c>
      <c r="D24" s="32">
        <v>3772300</v>
      </c>
      <c r="E24" s="32">
        <v>1997200</v>
      </c>
      <c r="F24" s="32">
        <v>2097500</v>
      </c>
      <c r="G24" s="32">
        <v>4175100</v>
      </c>
      <c r="H24" s="32">
        <v>618200</v>
      </c>
      <c r="I24" s="32">
        <v>562100</v>
      </c>
      <c r="J24" s="32">
        <v>84300</v>
      </c>
      <c r="K24" s="32">
        <v>70400</v>
      </c>
      <c r="S24" s="42"/>
      <c r="T24" s="42"/>
      <c r="U24" s="42"/>
    </row>
    <row r="25" spans="1:29" x14ac:dyDescent="0.2">
      <c r="A25" s="51">
        <f t="shared" si="0"/>
        <v>2007</v>
      </c>
      <c r="B25" s="32">
        <v>1</v>
      </c>
      <c r="C25" s="32">
        <v>6261000</v>
      </c>
      <c r="D25" s="32">
        <v>2750000</v>
      </c>
      <c r="E25" s="32">
        <v>1848000</v>
      </c>
      <c r="F25" s="32">
        <v>898000</v>
      </c>
      <c r="G25" s="32">
        <v>806000</v>
      </c>
      <c r="H25" s="32">
        <v>1323000</v>
      </c>
      <c r="I25" s="32">
        <v>243000</v>
      </c>
      <c r="J25" s="32">
        <v>152000</v>
      </c>
      <c r="K25" s="32">
        <v>65000</v>
      </c>
      <c r="U25" s="42"/>
    </row>
    <row r="26" spans="1:29" x14ac:dyDescent="0.2">
      <c r="A26" s="51">
        <f t="shared" si="0"/>
        <v>2008</v>
      </c>
      <c r="B26" s="32">
        <v>1</v>
      </c>
      <c r="C26" s="32">
        <v>3714000</v>
      </c>
      <c r="D26" s="32">
        <v>2853000</v>
      </c>
      <c r="E26" s="32">
        <v>1709000</v>
      </c>
      <c r="F26" s="32">
        <v>1485000</v>
      </c>
      <c r="G26" s="32">
        <v>809000</v>
      </c>
      <c r="H26" s="32">
        <v>712000</v>
      </c>
      <c r="I26" s="32">
        <v>1749000</v>
      </c>
      <c r="J26" s="32">
        <v>185000</v>
      </c>
      <c r="K26" s="32">
        <v>270000</v>
      </c>
    </row>
    <row r="27" spans="1:29" x14ac:dyDescent="0.2">
      <c r="A27" s="51">
        <f t="shared" si="0"/>
        <v>2009</v>
      </c>
      <c r="B27" s="32">
        <v>1</v>
      </c>
      <c r="C27" s="32">
        <v>4655000</v>
      </c>
      <c r="D27" s="32">
        <v>5632000</v>
      </c>
      <c r="E27" s="32">
        <v>2553000</v>
      </c>
      <c r="F27" s="32">
        <v>1023000</v>
      </c>
      <c r="G27" s="32">
        <v>1077000</v>
      </c>
      <c r="H27" s="32">
        <v>674000</v>
      </c>
      <c r="I27" s="32">
        <v>638000</v>
      </c>
      <c r="J27" s="32">
        <v>1142000</v>
      </c>
      <c r="K27" s="32">
        <v>578000</v>
      </c>
    </row>
    <row r="28" spans="1:29" x14ac:dyDescent="0.2">
      <c r="A28" s="51">
        <f t="shared" si="0"/>
        <v>2010</v>
      </c>
      <c r="B28" s="32">
        <v>1</v>
      </c>
      <c r="C28" s="32">
        <v>14577000</v>
      </c>
      <c r="D28" s="32">
        <v>4237000</v>
      </c>
      <c r="E28" s="32">
        <v>4216000</v>
      </c>
      <c r="F28" s="32">
        <v>2453000</v>
      </c>
      <c r="G28" s="32">
        <v>1246000</v>
      </c>
      <c r="H28" s="32">
        <v>1332000</v>
      </c>
      <c r="I28" s="32">
        <v>688000</v>
      </c>
      <c r="J28" s="32">
        <v>1110000</v>
      </c>
      <c r="K28" s="32">
        <v>1619000</v>
      </c>
    </row>
    <row r="29" spans="1:29" x14ac:dyDescent="0.2">
      <c r="A29" s="51">
        <f t="shared" si="0"/>
        <v>2011</v>
      </c>
      <c r="B29" s="32">
        <v>1</v>
      </c>
      <c r="C29" s="32">
        <v>10119000</v>
      </c>
      <c r="D29" s="32">
        <v>4166000</v>
      </c>
      <c r="E29" s="32">
        <v>2534000</v>
      </c>
      <c r="F29" s="32">
        <v>2173000</v>
      </c>
      <c r="G29" s="32">
        <v>1016000</v>
      </c>
      <c r="H29" s="32">
        <v>651000</v>
      </c>
      <c r="I29" s="32">
        <v>688000</v>
      </c>
      <c r="J29" s="32">
        <v>440000</v>
      </c>
      <c r="K29" s="32">
        <v>1297000</v>
      </c>
    </row>
    <row r="30" spans="1:29" x14ac:dyDescent="0.2">
      <c r="A30" s="51">
        <f t="shared" si="0"/>
        <v>2012</v>
      </c>
      <c r="B30" s="32">
        <v>1</v>
      </c>
      <c r="C30" s="32">
        <v>7437000</v>
      </c>
      <c r="D30" s="32">
        <v>4719000</v>
      </c>
      <c r="E30" s="32">
        <v>4067000</v>
      </c>
      <c r="F30" s="32">
        <v>1738000</v>
      </c>
      <c r="G30" s="32">
        <v>1209000</v>
      </c>
      <c r="H30" s="32">
        <v>593000</v>
      </c>
      <c r="I30" s="32">
        <v>247000</v>
      </c>
      <c r="J30" s="32">
        <v>218000</v>
      </c>
      <c r="K30" s="32">
        <v>478000</v>
      </c>
    </row>
    <row r="31" spans="1:29" x14ac:dyDescent="0.2">
      <c r="A31" s="51">
        <f t="shared" si="0"/>
        <v>2013</v>
      </c>
      <c r="B31" s="32">
        <v>1</v>
      </c>
      <c r="C31" s="32">
        <v>6388000</v>
      </c>
      <c r="D31" s="32">
        <v>2683000</v>
      </c>
      <c r="E31" s="32">
        <v>3031000</v>
      </c>
      <c r="F31" s="32">
        <v>2895000</v>
      </c>
      <c r="G31" s="32">
        <v>1546000</v>
      </c>
      <c r="H31" s="32">
        <v>849000</v>
      </c>
      <c r="I31" s="32">
        <v>464000</v>
      </c>
      <c r="J31" s="32">
        <v>250000</v>
      </c>
      <c r="K31" s="32">
        <v>592000</v>
      </c>
      <c r="N31" s="42"/>
    </row>
    <row r="32" spans="1:29" x14ac:dyDescent="0.2">
      <c r="A32" s="51">
        <f t="shared" si="0"/>
        <v>2014</v>
      </c>
      <c r="B32" s="32">
        <v>1</v>
      </c>
      <c r="C32" s="32">
        <v>11634000</v>
      </c>
      <c r="D32" s="32">
        <v>4918000</v>
      </c>
      <c r="E32" s="32">
        <v>2827000</v>
      </c>
      <c r="F32" s="32">
        <v>2939000</v>
      </c>
      <c r="G32" s="32">
        <v>1791000</v>
      </c>
      <c r="H32" s="32">
        <v>1236000</v>
      </c>
      <c r="I32" s="32">
        <v>669000</v>
      </c>
      <c r="J32" s="32">
        <v>211000</v>
      </c>
      <c r="K32" s="32">
        <v>250000</v>
      </c>
      <c r="M32" s="42"/>
      <c r="N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</row>
    <row r="33" spans="1:29" x14ac:dyDescent="0.2">
      <c r="A33" s="51">
        <v>2015</v>
      </c>
      <c r="B33" s="32">
        <v>1</v>
      </c>
      <c r="C33" s="32">
        <v>6714000</v>
      </c>
      <c r="D33" s="32">
        <v>9495000</v>
      </c>
      <c r="E33" s="32">
        <v>2831000</v>
      </c>
      <c r="F33" s="32">
        <v>1591000</v>
      </c>
      <c r="G33" s="32">
        <v>1549000</v>
      </c>
      <c r="H33" s="32">
        <v>926000</v>
      </c>
      <c r="I33" s="32">
        <v>520000</v>
      </c>
      <c r="J33" s="32">
        <v>275000</v>
      </c>
      <c r="K33" s="32">
        <v>221000</v>
      </c>
      <c r="M33" s="42"/>
      <c r="N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</row>
    <row r="34" spans="1:29" x14ac:dyDescent="0.2">
      <c r="B34" s="32" t="s">
        <v>53</v>
      </c>
      <c r="M34" s="42"/>
      <c r="N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</row>
    <row r="35" spans="1:29" x14ac:dyDescent="0.2">
      <c r="B35" s="32">
        <v>1984</v>
      </c>
      <c r="C35" s="6">
        <f>B35+COUNT(B39:B70)</f>
        <v>2016</v>
      </c>
      <c r="N35" s="42"/>
    </row>
    <row r="36" spans="1:29" x14ac:dyDescent="0.2">
      <c r="B36" s="32">
        <v>1</v>
      </c>
      <c r="C36" s="32">
        <v>1</v>
      </c>
      <c r="D36" s="32">
        <v>0.08</v>
      </c>
      <c r="E36" s="32">
        <v>0.17</v>
      </c>
    </row>
    <row r="37" spans="1:29" x14ac:dyDescent="0.2">
      <c r="B37" s="32">
        <v>1</v>
      </c>
      <c r="C37" s="32">
        <v>5</v>
      </c>
      <c r="N37" s="42"/>
    </row>
    <row r="38" spans="1:29" s="44" customFormat="1" x14ac:dyDescent="0.2">
      <c r="A38" s="51">
        <f>B35</f>
        <v>1984</v>
      </c>
      <c r="B38" s="38">
        <v>1</v>
      </c>
      <c r="C38" s="43">
        <v>1515.627</v>
      </c>
      <c r="D38" s="56">
        <v>161.47999999999999</v>
      </c>
      <c r="E38" s="56">
        <v>61.427999999999997</v>
      </c>
      <c r="F38" s="56">
        <v>26.888000000000002</v>
      </c>
      <c r="G38" s="56">
        <v>10.238</v>
      </c>
      <c r="H38" s="36"/>
      <c r="I38" s="36"/>
      <c r="J38" s="36"/>
      <c r="K38" s="36"/>
      <c r="L38" s="32"/>
      <c r="M38" s="32"/>
      <c r="N38" s="32"/>
      <c r="O38" s="32"/>
      <c r="P38" s="32"/>
      <c r="Q38" s="32"/>
      <c r="R38" s="32"/>
      <c r="S38" s="32"/>
      <c r="T38" s="32"/>
      <c r="V38" s="32"/>
      <c r="W38" s="32"/>
      <c r="X38" s="32"/>
      <c r="Y38" s="32"/>
      <c r="Z38" s="32"/>
      <c r="AA38" s="32"/>
      <c r="AB38" s="32"/>
      <c r="AC38" s="32"/>
    </row>
    <row r="39" spans="1:29" s="44" customFormat="1" x14ac:dyDescent="0.2">
      <c r="A39" s="51">
        <f>A38+1</f>
        <v>1985</v>
      </c>
      <c r="B39" s="38">
        <v>1</v>
      </c>
      <c r="C39" s="43">
        <v>2097.2800000000002</v>
      </c>
      <c r="D39" s="56">
        <v>721.64599999999996</v>
      </c>
      <c r="E39" s="56">
        <v>281.99</v>
      </c>
      <c r="F39" s="56">
        <v>42.088000000000001</v>
      </c>
      <c r="G39" s="56">
        <v>27.940999999999999</v>
      </c>
      <c r="H39" s="36"/>
      <c r="I39" s="36"/>
      <c r="J39" s="36"/>
      <c r="K39" s="36"/>
      <c r="L39" s="32"/>
      <c r="M39" s="32"/>
      <c r="N39" s="32"/>
      <c r="O39" s="32"/>
      <c r="P39" s="32"/>
      <c r="Q39" s="32"/>
      <c r="R39" s="32"/>
      <c r="S39" s="32"/>
      <c r="T39" s="32"/>
      <c r="V39" s="32"/>
      <c r="W39" s="32"/>
      <c r="X39" s="32"/>
      <c r="Y39" s="32"/>
      <c r="Z39" s="32"/>
      <c r="AA39" s="32"/>
      <c r="AB39" s="32"/>
      <c r="AC39" s="32"/>
    </row>
    <row r="40" spans="1:29" s="44" customFormat="1" x14ac:dyDescent="0.2">
      <c r="A40" s="51">
        <f t="shared" ref="A40:A69" si="1">A39+1</f>
        <v>1986</v>
      </c>
      <c r="B40" s="38">
        <v>1</v>
      </c>
      <c r="C40" s="43">
        <v>2662.8119999999999</v>
      </c>
      <c r="D40" s="56">
        <v>782.12199999999996</v>
      </c>
      <c r="E40" s="56">
        <v>276.03100000000001</v>
      </c>
      <c r="F40" s="56">
        <v>79.007000000000005</v>
      </c>
      <c r="G40" s="56">
        <v>28.076000000000001</v>
      </c>
      <c r="H40" s="36"/>
      <c r="I40" s="36"/>
      <c r="J40" s="36"/>
      <c r="K40" s="36"/>
      <c r="L40" s="32"/>
      <c r="M40" s="32"/>
      <c r="N40" s="32"/>
      <c r="O40" s="32"/>
      <c r="P40" s="32"/>
      <c r="Q40" s="32"/>
      <c r="R40" s="32"/>
      <c r="S40" s="32"/>
      <c r="T40" s="32"/>
      <c r="V40" s="32"/>
      <c r="W40" s="32"/>
      <c r="X40" s="32"/>
      <c r="Y40" s="32"/>
      <c r="Z40" s="32"/>
      <c r="AA40" s="32"/>
      <c r="AB40" s="32"/>
      <c r="AC40" s="32"/>
    </row>
    <row r="41" spans="1:29" s="44" customFormat="1" x14ac:dyDescent="0.2">
      <c r="A41" s="51">
        <f t="shared" si="1"/>
        <v>1987</v>
      </c>
      <c r="B41" s="38">
        <v>1</v>
      </c>
      <c r="C41" s="43">
        <v>3692.9650000000001</v>
      </c>
      <c r="D41" s="56">
        <v>917.55</v>
      </c>
      <c r="E41" s="56">
        <v>116.315</v>
      </c>
      <c r="F41" s="56">
        <v>59.350999999999999</v>
      </c>
      <c r="G41" s="56">
        <v>48.762999999999998</v>
      </c>
      <c r="H41" s="36"/>
      <c r="I41" s="36"/>
      <c r="J41" s="36"/>
      <c r="K41" s="36"/>
      <c r="L41" s="32"/>
      <c r="M41" s="32"/>
      <c r="N41" s="32"/>
      <c r="O41" s="32"/>
      <c r="P41" s="32"/>
      <c r="Q41" s="32"/>
      <c r="R41" s="32"/>
      <c r="S41" s="32"/>
      <c r="T41" s="32"/>
      <c r="V41" s="32"/>
      <c r="W41" s="32"/>
      <c r="X41" s="32"/>
      <c r="Y41" s="32"/>
      <c r="Z41" s="32"/>
      <c r="AA41" s="32"/>
      <c r="AB41" s="32"/>
      <c r="AC41" s="32"/>
    </row>
    <row r="42" spans="1:29" x14ac:dyDescent="0.2">
      <c r="A42" s="51">
        <f t="shared" si="1"/>
        <v>1988</v>
      </c>
      <c r="B42" s="32">
        <v>1</v>
      </c>
      <c r="C42" s="43">
        <v>4394.1679999999997</v>
      </c>
      <c r="D42" s="45">
        <v>4163.384</v>
      </c>
      <c r="E42" s="45">
        <v>791.52800000000002</v>
      </c>
      <c r="F42" s="45">
        <v>57.957000000000001</v>
      </c>
      <c r="G42" s="45">
        <v>25.053999999999998</v>
      </c>
      <c r="V42" s="42"/>
      <c r="W42" s="42"/>
      <c r="X42" s="42"/>
      <c r="Z42" s="42"/>
      <c r="AA42" s="42"/>
      <c r="AB42" s="42"/>
      <c r="AC42" s="42"/>
    </row>
    <row r="43" spans="1:29" x14ac:dyDescent="0.2">
      <c r="A43" s="51">
        <f t="shared" si="1"/>
        <v>1989</v>
      </c>
      <c r="B43" s="32">
        <v>1</v>
      </c>
      <c r="C43" s="43">
        <v>2331.5659999999998</v>
      </c>
      <c r="D43" s="45">
        <v>875.33600000000001</v>
      </c>
      <c r="E43" s="45">
        <v>338.51400000000001</v>
      </c>
      <c r="F43" s="45">
        <v>89.381</v>
      </c>
      <c r="G43" s="45">
        <v>8.5190000000000001</v>
      </c>
    </row>
    <row r="44" spans="1:29" x14ac:dyDescent="0.2">
      <c r="A44" s="51">
        <f t="shared" si="1"/>
        <v>1990</v>
      </c>
      <c r="B44" s="32">
        <v>1</v>
      </c>
      <c r="C44" s="43">
        <v>1061.5719999999999</v>
      </c>
      <c r="D44" s="45">
        <v>462.09699999999998</v>
      </c>
      <c r="E44" s="45">
        <v>279.77999999999997</v>
      </c>
      <c r="F44" s="45">
        <v>269.108</v>
      </c>
      <c r="G44" s="45">
        <v>71.302999999999997</v>
      </c>
    </row>
    <row r="45" spans="1:29" x14ac:dyDescent="0.2">
      <c r="A45" s="51">
        <f t="shared" si="1"/>
        <v>1991</v>
      </c>
      <c r="B45" s="32">
        <v>1</v>
      </c>
      <c r="C45" s="43">
        <v>1286.7470000000001</v>
      </c>
      <c r="D45" s="45">
        <v>693.02</v>
      </c>
      <c r="E45" s="45">
        <v>258.60399999999998</v>
      </c>
      <c r="F45" s="45">
        <v>221.523</v>
      </c>
      <c r="G45" s="45">
        <v>146.096</v>
      </c>
    </row>
    <row r="46" spans="1:29" x14ac:dyDescent="0.2">
      <c r="A46" s="51">
        <f t="shared" si="1"/>
        <v>1992</v>
      </c>
      <c r="B46" s="32">
        <v>1</v>
      </c>
      <c r="C46" s="43">
        <v>1268.145</v>
      </c>
      <c r="D46" s="45">
        <v>436.56299999999999</v>
      </c>
      <c r="E46" s="45">
        <v>193.08500000000001</v>
      </c>
      <c r="F46" s="45">
        <v>54.81</v>
      </c>
      <c r="G46" s="45">
        <v>92.268000000000001</v>
      </c>
    </row>
    <row r="47" spans="1:29" x14ac:dyDescent="0.2">
      <c r="A47" s="51">
        <f t="shared" si="1"/>
        <v>1993</v>
      </c>
      <c r="B47" s="32">
        <v>1</v>
      </c>
      <c r="C47" s="43">
        <v>2794.0070000000001</v>
      </c>
      <c r="D47" s="45">
        <v>787.42100000000005</v>
      </c>
      <c r="E47" s="45">
        <v>222.58500000000001</v>
      </c>
      <c r="F47" s="45">
        <v>45.042000000000002</v>
      </c>
      <c r="G47" s="45">
        <v>65.534000000000006</v>
      </c>
    </row>
    <row r="48" spans="1:29" x14ac:dyDescent="0.2">
      <c r="A48" s="51">
        <f t="shared" si="1"/>
        <v>1994</v>
      </c>
      <c r="B48" s="32">
        <v>1</v>
      </c>
      <c r="C48" s="43">
        <v>1752.0530000000001</v>
      </c>
      <c r="D48" s="45">
        <v>1167.221</v>
      </c>
      <c r="E48" s="45">
        <v>213.059</v>
      </c>
      <c r="F48" s="45">
        <v>69.004000000000005</v>
      </c>
      <c r="G48" s="45">
        <v>42.503</v>
      </c>
    </row>
    <row r="49" spans="1:7" x14ac:dyDescent="0.2">
      <c r="A49" s="51">
        <f t="shared" si="1"/>
        <v>1995</v>
      </c>
      <c r="B49" s="32">
        <v>1</v>
      </c>
      <c r="C49" s="43">
        <v>1312.789</v>
      </c>
      <c r="D49" s="45">
        <v>1356.403</v>
      </c>
      <c r="E49" s="45">
        <v>272.85899999999998</v>
      </c>
      <c r="F49" s="45">
        <v>35.578000000000003</v>
      </c>
      <c r="G49" s="45">
        <v>6.2530000000000001</v>
      </c>
    </row>
    <row r="50" spans="1:7" x14ac:dyDescent="0.2">
      <c r="A50" s="51">
        <f t="shared" si="1"/>
        <v>1996</v>
      </c>
      <c r="B50" s="32">
        <v>1</v>
      </c>
      <c r="C50" s="43">
        <v>1888.992</v>
      </c>
      <c r="D50" s="45">
        <v>199.352</v>
      </c>
      <c r="E50" s="45">
        <v>31.413</v>
      </c>
      <c r="F50" s="45">
        <v>10.093</v>
      </c>
      <c r="G50" s="45">
        <v>8.0050000000000008</v>
      </c>
    </row>
    <row r="51" spans="1:7" x14ac:dyDescent="0.2">
      <c r="A51" s="51">
        <f t="shared" si="1"/>
        <v>1997</v>
      </c>
      <c r="B51" s="32">
        <v>1</v>
      </c>
      <c r="C51" s="43">
        <v>4410.4110000000001</v>
      </c>
      <c r="D51" s="45">
        <v>523.77800000000002</v>
      </c>
      <c r="E51" s="45">
        <v>131.84</v>
      </c>
      <c r="F51" s="45">
        <v>32.116</v>
      </c>
      <c r="G51" s="45">
        <v>20.722000000000001</v>
      </c>
    </row>
    <row r="52" spans="1:7" x14ac:dyDescent="0.2">
      <c r="A52" s="51">
        <f t="shared" si="1"/>
        <v>1998</v>
      </c>
      <c r="B52" s="32">
        <v>1</v>
      </c>
      <c r="C52" s="43">
        <v>2275.8449999999998</v>
      </c>
      <c r="D52" s="45">
        <v>791.64400000000001</v>
      </c>
      <c r="E52" s="45">
        <v>95.885000000000005</v>
      </c>
      <c r="F52" s="45">
        <v>20.574999999999999</v>
      </c>
      <c r="G52" s="45">
        <v>17.8</v>
      </c>
    </row>
    <row r="53" spans="1:7" x14ac:dyDescent="0.2">
      <c r="A53" s="51">
        <f t="shared" si="1"/>
        <v>1999</v>
      </c>
      <c r="B53" s="32">
        <v>1</v>
      </c>
      <c r="C53" s="43">
        <v>752.86199999999997</v>
      </c>
      <c r="D53" s="45">
        <v>450.61599999999999</v>
      </c>
      <c r="E53" s="45">
        <v>501.31599999999997</v>
      </c>
      <c r="F53" s="45">
        <v>98.180999999999997</v>
      </c>
      <c r="G53" s="45">
        <v>35.57</v>
      </c>
    </row>
    <row r="54" spans="1:7" x14ac:dyDescent="0.2">
      <c r="A54" s="51">
        <f t="shared" si="1"/>
        <v>2000</v>
      </c>
      <c r="B54" s="32">
        <v>1</v>
      </c>
      <c r="C54" s="43">
        <v>3721.308</v>
      </c>
      <c r="D54" s="45">
        <v>202.292</v>
      </c>
      <c r="E54" s="45">
        <v>159.30799999999999</v>
      </c>
      <c r="F54" s="45">
        <v>62.671999999999997</v>
      </c>
      <c r="G54" s="45">
        <v>12.010999999999999</v>
      </c>
    </row>
    <row r="55" spans="1:7" x14ac:dyDescent="0.2">
      <c r="A55" s="51">
        <f t="shared" si="1"/>
        <v>2001</v>
      </c>
      <c r="B55" s="32">
        <v>1</v>
      </c>
      <c r="C55" s="43">
        <v>2499.3530000000001</v>
      </c>
      <c r="D55" s="45">
        <v>1129.3530000000001</v>
      </c>
      <c r="E55" s="45">
        <v>317.06900000000002</v>
      </c>
      <c r="F55" s="45">
        <v>93.885999999999996</v>
      </c>
      <c r="G55" s="45">
        <v>68.278000000000006</v>
      </c>
    </row>
    <row r="56" spans="1:7" x14ac:dyDescent="0.2">
      <c r="A56" s="51">
        <f t="shared" si="1"/>
        <v>2002</v>
      </c>
      <c r="B56" s="32">
        <v>1</v>
      </c>
      <c r="C56" s="43">
        <v>3881.4259999999999</v>
      </c>
      <c r="D56" s="45">
        <v>485.16800000000001</v>
      </c>
      <c r="E56" s="45">
        <v>253.25800000000001</v>
      </c>
      <c r="F56" s="45">
        <v>19.311</v>
      </c>
      <c r="G56" s="45">
        <v>17.391999999999999</v>
      </c>
    </row>
    <row r="57" spans="1:7" x14ac:dyDescent="0.2">
      <c r="A57" s="51">
        <f t="shared" si="1"/>
        <v>2003</v>
      </c>
      <c r="B57" s="32">
        <v>1</v>
      </c>
      <c r="C57" s="43">
        <v>2969.8739999999998</v>
      </c>
      <c r="D57" s="45">
        <v>1534.6759999999999</v>
      </c>
      <c r="E57" s="45">
        <v>442.47199999999998</v>
      </c>
      <c r="F57" s="45">
        <v>354.80500000000001</v>
      </c>
      <c r="G57" s="45">
        <v>43.095999999999997</v>
      </c>
    </row>
    <row r="58" spans="1:7" x14ac:dyDescent="0.2">
      <c r="A58" s="51">
        <f t="shared" si="1"/>
        <v>2004</v>
      </c>
      <c r="B58" s="32">
        <v>1</v>
      </c>
      <c r="C58" s="43">
        <v>933.92600000000004</v>
      </c>
      <c r="D58" s="45">
        <v>413.99799999999999</v>
      </c>
      <c r="E58" s="45">
        <v>698.20699999999999</v>
      </c>
      <c r="F58" s="45">
        <v>109.02800000000001</v>
      </c>
      <c r="G58" s="45">
        <v>172.88499999999999</v>
      </c>
    </row>
    <row r="59" spans="1:7" x14ac:dyDescent="0.2">
      <c r="A59" s="51">
        <f t="shared" si="1"/>
        <v>2005</v>
      </c>
      <c r="B59" s="32">
        <v>1</v>
      </c>
      <c r="C59" s="43">
        <v>1006.134</v>
      </c>
      <c r="D59" s="45">
        <v>195.01599999999999</v>
      </c>
      <c r="E59" s="45">
        <v>332.3</v>
      </c>
      <c r="F59" s="45">
        <v>387.92</v>
      </c>
      <c r="G59" s="45">
        <v>125.18600000000001</v>
      </c>
    </row>
    <row r="60" spans="1:7" x14ac:dyDescent="0.2">
      <c r="A60" s="51">
        <f t="shared" si="1"/>
        <v>2006</v>
      </c>
      <c r="B60" s="32">
        <v>1</v>
      </c>
      <c r="C60" s="43">
        <v>903.6</v>
      </c>
      <c r="D60" s="45">
        <v>1442.097</v>
      </c>
      <c r="E60" s="45">
        <v>341.16</v>
      </c>
      <c r="F60" s="45">
        <v>203.51</v>
      </c>
      <c r="G60" s="45">
        <v>285.18799999999999</v>
      </c>
    </row>
    <row r="61" spans="1:7" x14ac:dyDescent="0.2">
      <c r="A61" s="51">
        <f t="shared" si="1"/>
        <v>2007</v>
      </c>
      <c r="B61" s="32">
        <v>1</v>
      </c>
      <c r="C61" s="43">
        <v>1322.346</v>
      </c>
      <c r="D61" s="45">
        <v>49.841000000000001</v>
      </c>
      <c r="E61" s="45">
        <v>18.141999999999999</v>
      </c>
      <c r="F61" s="45">
        <v>7.8209999999999997</v>
      </c>
      <c r="G61" s="45">
        <v>40.207000000000001</v>
      </c>
    </row>
    <row r="62" spans="1:7" x14ac:dyDescent="0.2">
      <c r="A62" s="51">
        <f t="shared" si="1"/>
        <v>2008</v>
      </c>
      <c r="B62" s="32">
        <v>1</v>
      </c>
      <c r="C62" s="43">
        <v>1761.4760000000001</v>
      </c>
      <c r="D62" s="45">
        <v>222.62100000000001</v>
      </c>
      <c r="E62" s="45">
        <v>132.91499999999999</v>
      </c>
      <c r="F62" s="45">
        <v>194.90199999999999</v>
      </c>
      <c r="G62" s="45">
        <v>220.44499999999999</v>
      </c>
    </row>
    <row r="63" spans="1:7" x14ac:dyDescent="0.2">
      <c r="A63" s="51">
        <f t="shared" si="1"/>
        <v>2009</v>
      </c>
      <c r="B63" s="32">
        <v>1</v>
      </c>
      <c r="C63" s="43">
        <v>2339.203</v>
      </c>
      <c r="D63" s="45">
        <v>135.511</v>
      </c>
      <c r="E63" s="45">
        <v>21.102</v>
      </c>
      <c r="F63" s="45">
        <v>11.07</v>
      </c>
      <c r="G63" s="45">
        <v>43.470999999999997</v>
      </c>
    </row>
    <row r="64" spans="1:7" x14ac:dyDescent="0.2">
      <c r="A64" s="51">
        <f t="shared" si="1"/>
        <v>2010</v>
      </c>
      <c r="B64" s="46">
        <v>1</v>
      </c>
      <c r="C64" s="43">
        <v>1206.327</v>
      </c>
      <c r="D64" s="45">
        <v>49.494999999999997</v>
      </c>
      <c r="E64" s="45">
        <v>34.895000000000003</v>
      </c>
      <c r="F64" s="45">
        <v>46.344999999999999</v>
      </c>
      <c r="G64" s="45">
        <v>89.010999999999996</v>
      </c>
    </row>
    <row r="65" spans="1:11" x14ac:dyDescent="0.2">
      <c r="A65" s="51">
        <f t="shared" si="1"/>
        <v>2011</v>
      </c>
      <c r="B65" s="32">
        <v>1</v>
      </c>
      <c r="C65" s="43">
        <v>2943.2020000000002</v>
      </c>
      <c r="D65" s="47">
        <v>384.37799999999999</v>
      </c>
      <c r="E65" s="47">
        <v>605.80200000000002</v>
      </c>
      <c r="F65" s="47">
        <v>418.38799999999998</v>
      </c>
      <c r="G65" s="47">
        <v>470.517</v>
      </c>
    </row>
    <row r="66" spans="1:11" x14ac:dyDescent="0.2">
      <c r="A66" s="51">
        <f t="shared" si="1"/>
        <v>2012</v>
      </c>
      <c r="B66" s="32">
        <v>1</v>
      </c>
      <c r="C66" s="43">
        <v>1357.4380000000001</v>
      </c>
      <c r="D66" s="47">
        <v>280.54500000000002</v>
      </c>
      <c r="E66" s="47">
        <v>173.48400000000001</v>
      </c>
      <c r="F66" s="47">
        <v>57.551000000000002</v>
      </c>
      <c r="G66" s="47">
        <v>77.119</v>
      </c>
    </row>
    <row r="67" spans="1:11" x14ac:dyDescent="0.2">
      <c r="A67" s="51">
        <f t="shared" si="1"/>
        <v>2013</v>
      </c>
      <c r="B67" s="32">
        <v>1</v>
      </c>
      <c r="C67" s="43">
        <v>1665.7260000000001</v>
      </c>
      <c r="D67" s="47">
        <v>176.41</v>
      </c>
      <c r="E67" s="47">
        <v>197.15</v>
      </c>
      <c r="F67" s="47">
        <v>153.947</v>
      </c>
      <c r="G67" s="47">
        <v>64.48</v>
      </c>
    </row>
    <row r="68" spans="1:11" x14ac:dyDescent="0.2">
      <c r="A68" s="51">
        <f t="shared" si="1"/>
        <v>2014</v>
      </c>
      <c r="B68" s="32">
        <v>1</v>
      </c>
      <c r="C68" s="43">
        <v>2615.018</v>
      </c>
      <c r="D68" s="47">
        <v>641.08500000000004</v>
      </c>
      <c r="E68" s="47">
        <v>24.645</v>
      </c>
      <c r="F68" s="47">
        <v>16.803999999999998</v>
      </c>
      <c r="G68" s="47">
        <v>35.253999999999998</v>
      </c>
    </row>
    <row r="69" spans="1:11" x14ac:dyDescent="0.2">
      <c r="A69" s="51">
        <f t="shared" si="1"/>
        <v>2015</v>
      </c>
      <c r="B69" s="32">
        <v>1</v>
      </c>
      <c r="C69" s="43">
        <v>3917.6320000000001</v>
      </c>
      <c r="D69" s="47">
        <v>609.71100000000001</v>
      </c>
      <c r="E69" s="47">
        <v>59.811</v>
      </c>
      <c r="F69" s="47">
        <v>11.909000000000001</v>
      </c>
      <c r="G69" s="47">
        <v>12.337999999999999</v>
      </c>
    </row>
    <row r="70" spans="1:11" x14ac:dyDescent="0.2">
      <c r="A70" s="51">
        <v>2016</v>
      </c>
      <c r="B70" s="32">
        <v>1</v>
      </c>
      <c r="C70" s="43">
        <v>778.84400000000005</v>
      </c>
      <c r="D70" s="47">
        <v>1459.0450000000001</v>
      </c>
      <c r="E70" s="47">
        <v>256.00700000000001</v>
      </c>
      <c r="F70" s="47">
        <v>28.055</v>
      </c>
      <c r="G70" s="47">
        <v>13.656000000000001</v>
      </c>
    </row>
    <row r="71" spans="1:11" x14ac:dyDescent="0.2">
      <c r="B71" s="32" t="s">
        <v>54</v>
      </c>
    </row>
    <row r="72" spans="1:11" x14ac:dyDescent="0.2">
      <c r="B72" s="32">
        <v>1992</v>
      </c>
      <c r="C72" s="6">
        <f>B72+COUNT(B76:B99)</f>
        <v>2016</v>
      </c>
    </row>
    <row r="73" spans="1:11" x14ac:dyDescent="0.2">
      <c r="B73" s="32">
        <v>1</v>
      </c>
      <c r="C73" s="32">
        <v>1</v>
      </c>
      <c r="D73" s="32">
        <v>0.08</v>
      </c>
      <c r="E73" s="32">
        <v>0.17</v>
      </c>
    </row>
    <row r="74" spans="1:11" x14ac:dyDescent="0.2">
      <c r="B74" s="32">
        <v>0</v>
      </c>
      <c r="C74" s="32">
        <v>0</v>
      </c>
    </row>
    <row r="75" spans="1:11" x14ac:dyDescent="0.2">
      <c r="A75" s="51">
        <f>B72</f>
        <v>1992</v>
      </c>
      <c r="B75" s="32">
        <v>1</v>
      </c>
      <c r="C75" s="32">
        <v>200.7</v>
      </c>
      <c r="G75" s="46"/>
      <c r="H75" s="48"/>
      <c r="I75" s="46"/>
      <c r="J75" s="46"/>
      <c r="K75" s="46"/>
    </row>
    <row r="76" spans="1:11" x14ac:dyDescent="0.2">
      <c r="A76" s="51">
        <f>A75+1</f>
        <v>1993</v>
      </c>
      <c r="B76" s="32">
        <v>1</v>
      </c>
      <c r="C76" s="32">
        <v>190.1</v>
      </c>
      <c r="G76" s="46"/>
      <c r="H76" s="48"/>
      <c r="I76" s="46"/>
      <c r="J76" s="46"/>
      <c r="K76" s="46"/>
    </row>
    <row r="77" spans="1:11" x14ac:dyDescent="0.2">
      <c r="A77" s="51">
        <f t="shared" ref="A77:A98" si="2">A76+1</f>
        <v>1994</v>
      </c>
      <c r="B77" s="32">
        <v>1</v>
      </c>
      <c r="C77" s="32">
        <v>101.7</v>
      </c>
      <c r="G77" s="46"/>
      <c r="H77" s="48"/>
      <c r="I77" s="46"/>
      <c r="J77" s="46"/>
      <c r="K77" s="46"/>
    </row>
    <row r="78" spans="1:11" x14ac:dyDescent="0.2">
      <c r="A78" s="51">
        <f t="shared" si="2"/>
        <v>1995</v>
      </c>
      <c r="B78" s="32">
        <v>1</v>
      </c>
      <c r="C78" s="32">
        <v>127</v>
      </c>
      <c r="G78" s="46"/>
      <c r="H78" s="48"/>
      <c r="I78" s="46"/>
      <c r="J78" s="46"/>
      <c r="K78" s="46"/>
    </row>
    <row r="79" spans="1:11" x14ac:dyDescent="0.2">
      <c r="A79" s="51">
        <f t="shared" si="2"/>
        <v>1996</v>
      </c>
      <c r="B79" s="32">
        <v>1</v>
      </c>
      <c r="C79" s="32">
        <v>106.5</v>
      </c>
      <c r="G79" s="46"/>
      <c r="H79" s="48"/>
      <c r="I79" s="46"/>
      <c r="J79" s="46"/>
      <c r="K79" s="46"/>
    </row>
    <row r="80" spans="1:11" x14ac:dyDescent="0.2">
      <c r="A80" s="51">
        <f t="shared" si="2"/>
        <v>1997</v>
      </c>
      <c r="B80" s="32">
        <v>1</v>
      </c>
      <c r="C80" s="32">
        <v>148.1</v>
      </c>
      <c r="G80" s="46"/>
      <c r="H80" s="48"/>
      <c r="I80" s="46"/>
      <c r="J80" s="46"/>
      <c r="K80" s="46"/>
    </row>
    <row r="81" spans="1:11" x14ac:dyDescent="0.2">
      <c r="A81" s="51">
        <f t="shared" si="2"/>
        <v>1998</v>
      </c>
      <c r="B81" s="32">
        <v>1</v>
      </c>
      <c r="C81" s="32">
        <v>53.1</v>
      </c>
      <c r="G81" s="46"/>
      <c r="H81" s="48"/>
      <c r="I81" s="46"/>
      <c r="J81" s="46"/>
      <c r="K81" s="46"/>
    </row>
    <row r="82" spans="1:11" x14ac:dyDescent="0.2">
      <c r="A82" s="51">
        <f t="shared" si="2"/>
        <v>1999</v>
      </c>
      <c r="B82" s="32">
        <v>1</v>
      </c>
      <c r="C82" s="32">
        <v>244</v>
      </c>
      <c r="G82" s="46"/>
      <c r="H82" s="48"/>
      <c r="I82" s="46"/>
      <c r="J82" s="46"/>
      <c r="K82" s="46"/>
    </row>
    <row r="83" spans="1:11" x14ac:dyDescent="0.2">
      <c r="A83" s="51">
        <f t="shared" si="2"/>
        <v>2000</v>
      </c>
      <c r="B83" s="32">
        <v>1</v>
      </c>
      <c r="C83" s="32">
        <v>137.1</v>
      </c>
      <c r="G83" s="46"/>
      <c r="H83" s="48"/>
      <c r="I83" s="46"/>
      <c r="J83" s="46"/>
      <c r="K83" s="46"/>
    </row>
    <row r="84" spans="1:11" x14ac:dyDescent="0.2">
      <c r="A84" s="51">
        <f t="shared" si="2"/>
        <v>2001</v>
      </c>
      <c r="B84" s="32">
        <v>1</v>
      </c>
      <c r="C84" s="32">
        <v>214.8</v>
      </c>
      <c r="G84" s="46"/>
      <c r="H84" s="48"/>
      <c r="I84" s="46"/>
      <c r="J84" s="46"/>
      <c r="K84" s="46"/>
    </row>
    <row r="85" spans="1:11" x14ac:dyDescent="0.2">
      <c r="A85" s="51">
        <f t="shared" si="2"/>
        <v>2002</v>
      </c>
      <c r="B85" s="32">
        <v>1</v>
      </c>
      <c r="C85" s="32">
        <v>161.80000000000001</v>
      </c>
      <c r="G85" s="46"/>
      <c r="H85" s="48"/>
      <c r="I85" s="46"/>
      <c r="J85" s="46"/>
      <c r="K85" s="46"/>
    </row>
    <row r="86" spans="1:11" x14ac:dyDescent="0.2">
      <c r="A86" s="51">
        <f t="shared" si="2"/>
        <v>2003</v>
      </c>
      <c r="B86" s="32">
        <v>1</v>
      </c>
      <c r="C86" s="32">
        <v>54.4</v>
      </c>
      <c r="G86" s="46"/>
      <c r="H86" s="48"/>
      <c r="I86" s="46"/>
      <c r="J86" s="46"/>
      <c r="K86" s="46"/>
    </row>
    <row r="87" spans="1:11" x14ac:dyDescent="0.2">
      <c r="A87" s="51">
        <f t="shared" si="2"/>
        <v>2004</v>
      </c>
      <c r="B87" s="32">
        <v>1</v>
      </c>
      <c r="C87" s="32">
        <v>47.3</v>
      </c>
      <c r="G87" s="46"/>
      <c r="H87" s="48"/>
      <c r="I87" s="46"/>
      <c r="J87" s="46"/>
      <c r="K87" s="46"/>
    </row>
    <row r="88" spans="1:11" x14ac:dyDescent="0.2">
      <c r="A88" s="51">
        <f t="shared" si="2"/>
        <v>2005</v>
      </c>
      <c r="B88" s="32">
        <v>1</v>
      </c>
      <c r="C88" s="32">
        <v>61.3</v>
      </c>
      <c r="G88" s="46"/>
      <c r="H88" s="48"/>
      <c r="I88" s="46"/>
      <c r="J88" s="46"/>
      <c r="K88" s="46"/>
    </row>
    <row r="89" spans="1:11" x14ac:dyDescent="0.2">
      <c r="A89" s="51">
        <f t="shared" si="2"/>
        <v>2006</v>
      </c>
      <c r="B89" s="32">
        <v>1</v>
      </c>
      <c r="C89" s="32">
        <v>83.1</v>
      </c>
      <c r="G89" s="46"/>
      <c r="H89" s="48"/>
      <c r="I89" s="46"/>
      <c r="J89" s="46"/>
      <c r="K89" s="46"/>
    </row>
    <row r="90" spans="1:11" x14ac:dyDescent="0.2">
      <c r="A90" s="51">
        <f t="shared" si="2"/>
        <v>2007</v>
      </c>
      <c r="B90" s="32">
        <v>1</v>
      </c>
      <c r="C90" s="32">
        <v>37.200000000000003</v>
      </c>
      <c r="G90" s="46"/>
      <c r="H90" s="48"/>
      <c r="I90" s="46"/>
      <c r="J90" s="46"/>
      <c r="K90" s="46"/>
    </row>
    <row r="91" spans="1:11" x14ac:dyDescent="0.2">
      <c r="A91" s="51">
        <f t="shared" si="2"/>
        <v>2008</v>
      </c>
      <c r="B91" s="32">
        <v>1</v>
      </c>
      <c r="C91" s="32">
        <v>27.8</v>
      </c>
      <c r="G91" s="46"/>
      <c r="H91" s="48"/>
      <c r="I91" s="46"/>
      <c r="J91" s="46"/>
      <c r="K91" s="46"/>
    </row>
    <row r="92" spans="1:11" x14ac:dyDescent="0.2">
      <c r="A92" s="51">
        <f t="shared" si="2"/>
        <v>2009</v>
      </c>
      <c r="B92" s="32">
        <v>1</v>
      </c>
      <c r="C92" s="32">
        <v>95.8</v>
      </c>
      <c r="G92" s="46"/>
      <c r="H92" s="48"/>
      <c r="I92" s="46"/>
      <c r="J92" s="46"/>
      <c r="K92" s="46"/>
    </row>
    <row r="93" spans="1:11" x14ac:dyDescent="0.2">
      <c r="A93" s="51">
        <f t="shared" si="2"/>
        <v>2010</v>
      </c>
      <c r="B93" s="32">
        <v>1</v>
      </c>
      <c r="C93" s="32">
        <v>77.099999999999994</v>
      </c>
      <c r="G93" s="46"/>
      <c r="H93" s="48"/>
      <c r="I93" s="46"/>
      <c r="J93" s="46"/>
      <c r="K93" s="46"/>
    </row>
    <row r="94" spans="1:11" x14ac:dyDescent="0.2">
      <c r="A94" s="51">
        <f t="shared" si="2"/>
        <v>2011</v>
      </c>
      <c r="B94" s="32">
        <v>1</v>
      </c>
      <c r="C94" s="32">
        <v>77</v>
      </c>
      <c r="G94" s="46"/>
      <c r="H94" s="48"/>
      <c r="I94" s="46"/>
      <c r="J94" s="46"/>
      <c r="K94" s="46"/>
    </row>
    <row r="95" spans="1:11" x14ac:dyDescent="0.2">
      <c r="A95" s="51">
        <f t="shared" si="2"/>
        <v>2012</v>
      </c>
      <c r="B95" s="32">
        <v>1</v>
      </c>
      <c r="C95" s="32">
        <v>68</v>
      </c>
      <c r="G95" s="46"/>
      <c r="H95" s="48"/>
      <c r="I95" s="46"/>
      <c r="J95" s="46"/>
      <c r="K95" s="46"/>
    </row>
    <row r="96" spans="1:11" x14ac:dyDescent="0.2">
      <c r="A96" s="51">
        <f t="shared" si="2"/>
        <v>2013</v>
      </c>
      <c r="B96" s="32">
        <v>1</v>
      </c>
      <c r="C96" s="32">
        <v>50.4</v>
      </c>
      <c r="G96" s="46"/>
      <c r="H96" s="48"/>
      <c r="I96" s="46"/>
      <c r="J96" s="46"/>
      <c r="K96" s="46"/>
    </row>
    <row r="97" spans="1:11" x14ac:dyDescent="0.2">
      <c r="A97" s="51">
        <f t="shared" si="2"/>
        <v>2014</v>
      </c>
      <c r="B97" s="32">
        <v>1</v>
      </c>
      <c r="C97" s="32">
        <v>164.5</v>
      </c>
      <c r="G97" s="46"/>
      <c r="H97" s="48"/>
      <c r="I97" s="46"/>
      <c r="J97" s="46"/>
      <c r="K97" s="46"/>
    </row>
    <row r="98" spans="1:11" x14ac:dyDescent="0.2">
      <c r="A98" s="51">
        <f t="shared" si="2"/>
        <v>2015</v>
      </c>
      <c r="B98" s="32">
        <v>1</v>
      </c>
      <c r="C98" s="32">
        <v>20.9</v>
      </c>
      <c r="G98" s="46"/>
      <c r="H98" s="48"/>
      <c r="I98" s="46"/>
      <c r="J98" s="46"/>
      <c r="K98" s="46"/>
    </row>
    <row r="99" spans="1:11" x14ac:dyDescent="0.2">
      <c r="A99" s="51">
        <v>2016</v>
      </c>
      <c r="B99" s="32">
        <v>1</v>
      </c>
      <c r="C99" s="32">
        <v>-1</v>
      </c>
      <c r="G99" s="46"/>
      <c r="H99" s="48"/>
      <c r="I99" s="46"/>
      <c r="J99" s="46"/>
      <c r="K99" s="46"/>
    </row>
    <row r="100" spans="1:11" x14ac:dyDescent="0.2">
      <c r="G100" s="46"/>
      <c r="H100" s="48"/>
      <c r="I100" s="46"/>
      <c r="J100" s="46"/>
      <c r="K100" s="46"/>
    </row>
  </sheetData>
  <phoneticPr fontId="0" type="noConversion"/>
  <conditionalFormatting sqref="C15:C33">
    <cfRule type="colorScale" priority="14">
      <colorScale>
        <cfvo type="min"/>
        <cfvo type="max"/>
        <color rgb="FFFCFCFF"/>
        <color rgb="FFF8696B"/>
      </colorScale>
    </cfRule>
  </conditionalFormatting>
  <conditionalFormatting sqref="D15:D33">
    <cfRule type="colorScale" priority="13">
      <colorScale>
        <cfvo type="min"/>
        <cfvo type="max"/>
        <color rgb="FFFCFCFF"/>
        <color rgb="FFF8696B"/>
      </colorScale>
    </cfRule>
  </conditionalFormatting>
  <conditionalFormatting sqref="E15:E33">
    <cfRule type="colorScale" priority="12">
      <colorScale>
        <cfvo type="min"/>
        <cfvo type="max"/>
        <color rgb="FFFCFCFF"/>
        <color rgb="FFF8696B"/>
      </colorScale>
    </cfRule>
  </conditionalFormatting>
  <conditionalFormatting sqref="F15:F33">
    <cfRule type="colorScale" priority="11">
      <colorScale>
        <cfvo type="min"/>
        <cfvo type="max"/>
        <color rgb="FFFCFCFF"/>
        <color rgb="FFF8696B"/>
      </colorScale>
    </cfRule>
  </conditionalFormatting>
  <conditionalFormatting sqref="G15:G33">
    <cfRule type="colorScale" priority="10">
      <colorScale>
        <cfvo type="min"/>
        <cfvo type="max"/>
        <color rgb="FFFCFCFF"/>
        <color rgb="FFF8696B"/>
      </colorScale>
    </cfRule>
  </conditionalFormatting>
  <conditionalFormatting sqref="H15:H33">
    <cfRule type="colorScale" priority="9">
      <colorScale>
        <cfvo type="min"/>
        <cfvo type="max"/>
        <color rgb="FFFCFCFF"/>
        <color rgb="FFF8696B"/>
      </colorScale>
    </cfRule>
  </conditionalFormatting>
  <conditionalFormatting sqref="I15:I33">
    <cfRule type="colorScale" priority="8">
      <colorScale>
        <cfvo type="min"/>
        <cfvo type="max"/>
        <color rgb="FFFCFCFF"/>
        <color rgb="FFF8696B"/>
      </colorScale>
    </cfRule>
  </conditionalFormatting>
  <conditionalFormatting sqref="J15:J33">
    <cfRule type="colorScale" priority="7">
      <colorScale>
        <cfvo type="min"/>
        <cfvo type="max"/>
        <color rgb="FFFCFCFF"/>
        <color rgb="FFF8696B"/>
      </colorScale>
    </cfRule>
  </conditionalFormatting>
  <conditionalFormatting sqref="K15:K33">
    <cfRule type="colorScale" priority="6">
      <colorScale>
        <cfvo type="min"/>
        <cfvo type="max"/>
        <color rgb="FFFCFCFF"/>
        <color rgb="FFF8696B"/>
      </colorScale>
    </cfRule>
  </conditionalFormatting>
  <conditionalFormatting sqref="C38:C70">
    <cfRule type="colorScale" priority="5">
      <colorScale>
        <cfvo type="min"/>
        <cfvo type="max"/>
        <color rgb="FFFCFCFF"/>
        <color rgb="FFF8696B"/>
      </colorScale>
    </cfRule>
  </conditionalFormatting>
  <conditionalFormatting sqref="D38:D70">
    <cfRule type="colorScale" priority="4">
      <colorScale>
        <cfvo type="min"/>
        <cfvo type="max"/>
        <color rgb="FFFCFCFF"/>
        <color rgb="FFF8696B"/>
      </colorScale>
    </cfRule>
  </conditionalFormatting>
  <conditionalFormatting sqref="E38:E70">
    <cfRule type="colorScale" priority="3">
      <colorScale>
        <cfvo type="min"/>
        <cfvo type="max"/>
        <color rgb="FFFCFCFF"/>
        <color rgb="FFF8696B"/>
      </colorScale>
    </cfRule>
  </conditionalFormatting>
  <conditionalFormatting sqref="F38:F70">
    <cfRule type="colorScale" priority="2">
      <colorScale>
        <cfvo type="min"/>
        <cfvo type="max"/>
        <color rgb="FFFCFCFF"/>
        <color rgb="FFF8696B"/>
      </colorScale>
    </cfRule>
  </conditionalFormatting>
  <conditionalFormatting sqref="G38:G70">
    <cfRule type="colorScale" priority="1">
      <colorScale>
        <cfvo type="min"/>
        <cfvo type="max"/>
        <color rgb="FFFCFCFF"/>
        <color rgb="FFF8696B"/>
      </colorScale>
    </cfRule>
  </conditionalFormatting>
  <pageMargins left="0.75" right="0.75" top="1" bottom="1" header="0.5" footer="0.5"/>
  <pageSetup paperSize="9" scale="50" orientation="portrait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T348"/>
  <sheetViews>
    <sheetView topLeftCell="A309" zoomScaleNormal="100" workbookViewId="0">
      <selection activeCell="A342" sqref="A342:F348"/>
    </sheetView>
  </sheetViews>
  <sheetFormatPr defaultColWidth="8.85546875" defaultRowHeight="12.75" x14ac:dyDescent="0.2"/>
  <cols>
    <col min="1" max="1" width="8.85546875" style="49"/>
    <col min="2" max="4" width="8.85546875" customWidth="1"/>
    <col min="5" max="5" width="0" hidden="1" customWidth="1"/>
  </cols>
  <sheetData>
    <row r="1" spans="1:20" x14ac:dyDescent="0.2">
      <c r="B1" t="s">
        <v>55</v>
      </c>
      <c r="C1" t="s">
        <v>56</v>
      </c>
      <c r="D1" t="s">
        <v>57</v>
      </c>
      <c r="E1" t="s">
        <v>58</v>
      </c>
      <c r="F1" t="s">
        <v>59</v>
      </c>
    </row>
    <row r="2" spans="1:20" x14ac:dyDescent="0.2">
      <c r="A2" s="49">
        <f>1900+B2</f>
        <v>1972</v>
      </c>
      <c r="B2" s="1">
        <v>72</v>
      </c>
      <c r="C2" t="s">
        <v>60</v>
      </c>
      <c r="D2" t="s">
        <v>61</v>
      </c>
      <c r="E2" t="s">
        <v>62</v>
      </c>
      <c r="F2">
        <v>1133</v>
      </c>
    </row>
    <row r="3" spans="1:20" x14ac:dyDescent="0.2">
      <c r="A3" s="49">
        <f t="shared" ref="A3:A66" si="0">1900+B3</f>
        <v>1972</v>
      </c>
      <c r="B3" s="18">
        <v>72</v>
      </c>
      <c r="C3" s="18" t="s">
        <v>63</v>
      </c>
      <c r="D3" s="18" t="s">
        <v>61</v>
      </c>
      <c r="E3" t="s">
        <v>64</v>
      </c>
      <c r="F3">
        <v>4583</v>
      </c>
    </row>
    <row r="4" spans="1:20" x14ac:dyDescent="0.2">
      <c r="A4" s="49">
        <f t="shared" si="0"/>
        <v>1972</v>
      </c>
      <c r="B4">
        <v>72</v>
      </c>
      <c r="C4" s="26" t="s">
        <v>65</v>
      </c>
      <c r="D4" s="13" t="s">
        <v>66</v>
      </c>
      <c r="E4" t="s">
        <v>62</v>
      </c>
      <c r="F4">
        <v>30</v>
      </c>
    </row>
    <row r="5" spans="1:20" x14ac:dyDescent="0.2">
      <c r="A5" s="49">
        <f t="shared" si="0"/>
        <v>1972</v>
      </c>
      <c r="B5">
        <v>72</v>
      </c>
      <c r="C5" s="26" t="s">
        <v>67</v>
      </c>
      <c r="D5" s="13" t="s">
        <v>66</v>
      </c>
      <c r="E5" t="s">
        <v>64</v>
      </c>
      <c r="F5">
        <v>0</v>
      </c>
    </row>
    <row r="6" spans="1:20" x14ac:dyDescent="0.2">
      <c r="A6" s="49">
        <f t="shared" si="0"/>
        <v>1972</v>
      </c>
      <c r="B6">
        <v>72</v>
      </c>
      <c r="C6" s="26" t="s">
        <v>68</v>
      </c>
      <c r="D6" s="13" t="s">
        <v>69</v>
      </c>
      <c r="E6" t="s">
        <v>62</v>
      </c>
      <c r="F6">
        <v>165</v>
      </c>
    </row>
    <row r="7" spans="1:20" x14ac:dyDescent="0.2">
      <c r="A7" s="49">
        <f t="shared" si="0"/>
        <v>1972</v>
      </c>
      <c r="B7">
        <v>72</v>
      </c>
      <c r="C7" s="26" t="s">
        <v>70</v>
      </c>
      <c r="D7" s="13" t="s">
        <v>69</v>
      </c>
      <c r="E7" t="s">
        <v>64</v>
      </c>
      <c r="F7">
        <v>88</v>
      </c>
    </row>
    <row r="8" spans="1:20" x14ac:dyDescent="0.2">
      <c r="A8" s="49">
        <f t="shared" si="0"/>
        <v>1972</v>
      </c>
      <c r="B8">
        <v>72</v>
      </c>
      <c r="C8" s="26" t="s">
        <v>71</v>
      </c>
      <c r="D8" s="13" t="s">
        <v>69</v>
      </c>
      <c r="E8" t="s">
        <v>72</v>
      </c>
      <c r="F8">
        <v>134</v>
      </c>
    </row>
    <row r="9" spans="1:20" x14ac:dyDescent="0.2">
      <c r="A9" s="49">
        <f t="shared" si="0"/>
        <v>1972</v>
      </c>
      <c r="B9">
        <v>72</v>
      </c>
      <c r="C9" s="26" t="s">
        <v>73</v>
      </c>
      <c r="D9" s="13" t="s">
        <v>69</v>
      </c>
      <c r="E9" t="s">
        <v>74</v>
      </c>
      <c r="F9">
        <v>22</v>
      </c>
    </row>
    <row r="10" spans="1:20" x14ac:dyDescent="0.2">
      <c r="A10" s="49">
        <f t="shared" si="0"/>
        <v>1972</v>
      </c>
      <c r="B10">
        <v>72</v>
      </c>
      <c r="C10" s="26" t="s">
        <v>75</v>
      </c>
      <c r="D10" s="13" t="s">
        <v>76</v>
      </c>
      <c r="E10" t="s">
        <v>77</v>
      </c>
      <c r="F10">
        <v>2</v>
      </c>
    </row>
    <row r="11" spans="1:20" x14ac:dyDescent="0.2">
      <c r="A11" s="49">
        <f t="shared" si="0"/>
        <v>1972</v>
      </c>
      <c r="B11">
        <v>72</v>
      </c>
      <c r="C11" s="26" t="s">
        <v>78</v>
      </c>
      <c r="D11" s="13" t="s">
        <v>76</v>
      </c>
      <c r="E11" t="s">
        <v>79</v>
      </c>
      <c r="F11">
        <v>46</v>
      </c>
    </row>
    <row r="12" spans="1:20" x14ac:dyDescent="0.2">
      <c r="A12" s="49">
        <f t="shared" si="0"/>
        <v>1972</v>
      </c>
      <c r="B12">
        <v>72</v>
      </c>
      <c r="C12" s="26" t="s">
        <v>80</v>
      </c>
      <c r="D12" s="13" t="s">
        <v>76</v>
      </c>
      <c r="E12" t="s">
        <v>81</v>
      </c>
      <c r="F12">
        <v>0</v>
      </c>
      <c r="Q12" s="12"/>
      <c r="R12" s="12"/>
      <c r="S12" s="12"/>
      <c r="T12" s="12"/>
    </row>
    <row r="13" spans="1:20" x14ac:dyDescent="0.2">
      <c r="A13" s="49">
        <f t="shared" si="0"/>
        <v>1973</v>
      </c>
      <c r="B13">
        <v>73</v>
      </c>
      <c r="C13" s="26" t="s">
        <v>60</v>
      </c>
      <c r="D13" s="13" t="s">
        <v>61</v>
      </c>
      <c r="E13" t="s">
        <v>62</v>
      </c>
      <c r="F13">
        <v>2029</v>
      </c>
      <c r="Q13" s="12"/>
      <c r="R13" s="12"/>
      <c r="S13" s="12"/>
      <c r="T13" s="12"/>
    </row>
    <row r="14" spans="1:20" x14ac:dyDescent="0.2">
      <c r="A14" s="49">
        <f t="shared" si="0"/>
        <v>1973</v>
      </c>
      <c r="B14">
        <v>73</v>
      </c>
      <c r="C14" s="26" t="s">
        <v>63</v>
      </c>
      <c r="D14" s="13" t="s">
        <v>61</v>
      </c>
      <c r="E14" t="s">
        <v>64</v>
      </c>
      <c r="F14">
        <v>822</v>
      </c>
      <c r="Q14" s="12"/>
      <c r="R14" s="12"/>
      <c r="S14" s="12"/>
      <c r="T14" s="12"/>
    </row>
    <row r="15" spans="1:20" x14ac:dyDescent="0.2">
      <c r="A15" s="49">
        <f t="shared" si="0"/>
        <v>1973</v>
      </c>
      <c r="B15">
        <v>73</v>
      </c>
      <c r="C15" s="26" t="s">
        <v>65</v>
      </c>
      <c r="D15" s="13" t="s">
        <v>66</v>
      </c>
      <c r="E15" t="s">
        <v>62</v>
      </c>
      <c r="F15">
        <v>3</v>
      </c>
      <c r="Q15" s="12"/>
      <c r="R15" s="24"/>
      <c r="S15" s="12"/>
      <c r="T15" s="12"/>
    </row>
    <row r="16" spans="1:20" x14ac:dyDescent="0.2">
      <c r="A16" s="49">
        <f t="shared" si="0"/>
        <v>1973</v>
      </c>
      <c r="B16">
        <v>73</v>
      </c>
      <c r="C16" s="26" t="s">
        <v>67</v>
      </c>
      <c r="D16" s="13" t="s">
        <v>66</v>
      </c>
      <c r="E16" t="s">
        <v>64</v>
      </c>
      <c r="F16">
        <v>4</v>
      </c>
      <c r="Q16" s="12"/>
      <c r="R16" s="24"/>
      <c r="S16" s="12"/>
      <c r="T16" s="12"/>
    </row>
    <row r="17" spans="1:20" x14ac:dyDescent="0.2">
      <c r="A17" s="49">
        <f t="shared" si="0"/>
        <v>1973</v>
      </c>
      <c r="B17">
        <v>73</v>
      </c>
      <c r="C17" s="26" t="s">
        <v>68</v>
      </c>
      <c r="D17" s="13" t="s">
        <v>69</v>
      </c>
      <c r="E17" t="s">
        <v>62</v>
      </c>
      <c r="F17">
        <v>492</v>
      </c>
      <c r="Q17" s="12"/>
      <c r="R17" s="24"/>
      <c r="S17" s="12"/>
      <c r="T17" s="12"/>
    </row>
    <row r="18" spans="1:20" x14ac:dyDescent="0.2">
      <c r="A18" s="49">
        <f t="shared" si="0"/>
        <v>1973</v>
      </c>
      <c r="B18">
        <v>73</v>
      </c>
      <c r="C18" s="26" t="s">
        <v>70</v>
      </c>
      <c r="D18" s="13" t="s">
        <v>69</v>
      </c>
      <c r="E18" t="s">
        <v>64</v>
      </c>
      <c r="F18">
        <v>830</v>
      </c>
      <c r="Q18" s="12"/>
      <c r="R18" s="24"/>
      <c r="S18" s="12"/>
      <c r="T18" s="12"/>
    </row>
    <row r="19" spans="1:20" x14ac:dyDescent="0.2">
      <c r="A19" s="49">
        <f t="shared" si="0"/>
        <v>1973</v>
      </c>
      <c r="B19">
        <v>73</v>
      </c>
      <c r="C19" s="26" t="s">
        <v>71</v>
      </c>
      <c r="D19" s="13" t="s">
        <v>69</v>
      </c>
      <c r="E19" t="s">
        <v>72</v>
      </c>
      <c r="F19">
        <v>1213</v>
      </c>
      <c r="Q19" s="12"/>
      <c r="R19" s="24"/>
      <c r="S19" s="12"/>
      <c r="T19" s="12"/>
    </row>
    <row r="20" spans="1:20" x14ac:dyDescent="0.2">
      <c r="A20" s="49">
        <f t="shared" si="0"/>
        <v>1973</v>
      </c>
      <c r="B20">
        <v>73</v>
      </c>
      <c r="C20" s="26" t="s">
        <v>73</v>
      </c>
      <c r="D20" s="13" t="s">
        <v>69</v>
      </c>
      <c r="E20" t="s">
        <v>74</v>
      </c>
      <c r="F20">
        <v>152</v>
      </c>
      <c r="Q20" s="12"/>
      <c r="R20" s="24"/>
      <c r="S20" s="12"/>
      <c r="T20" s="12"/>
    </row>
    <row r="21" spans="1:20" x14ac:dyDescent="0.2">
      <c r="A21" s="49">
        <f t="shared" si="0"/>
        <v>1973</v>
      </c>
      <c r="B21">
        <v>73</v>
      </c>
      <c r="C21" s="26" t="s">
        <v>80</v>
      </c>
      <c r="D21" s="13" t="s">
        <v>76</v>
      </c>
      <c r="E21" t="s">
        <v>81</v>
      </c>
      <c r="F21">
        <v>1</v>
      </c>
      <c r="Q21" s="12"/>
      <c r="R21" s="24"/>
      <c r="S21" s="12"/>
      <c r="T21" s="12"/>
    </row>
    <row r="22" spans="1:20" x14ac:dyDescent="0.2">
      <c r="A22" s="49">
        <f t="shared" si="0"/>
        <v>1974</v>
      </c>
      <c r="B22">
        <v>74</v>
      </c>
      <c r="C22" s="26" t="s">
        <v>60</v>
      </c>
      <c r="D22" s="13" t="s">
        <v>61</v>
      </c>
      <c r="E22" t="s">
        <v>62</v>
      </c>
      <c r="F22">
        <v>758</v>
      </c>
      <c r="Q22" s="12"/>
      <c r="R22" s="24"/>
      <c r="S22" s="12"/>
      <c r="T22" s="12"/>
    </row>
    <row r="23" spans="1:20" x14ac:dyDescent="0.2">
      <c r="A23" s="49">
        <f t="shared" si="0"/>
        <v>1974</v>
      </c>
      <c r="B23">
        <v>74</v>
      </c>
      <c r="C23" s="26" t="s">
        <v>63</v>
      </c>
      <c r="D23" s="13" t="s">
        <v>61</v>
      </c>
      <c r="E23" t="s">
        <v>64</v>
      </c>
      <c r="F23">
        <v>421</v>
      </c>
      <c r="Q23" s="12"/>
      <c r="R23" s="24"/>
      <c r="S23" s="12"/>
      <c r="T23" s="12"/>
    </row>
    <row r="24" spans="1:20" x14ac:dyDescent="0.2">
      <c r="A24" s="49">
        <f t="shared" si="0"/>
        <v>1974</v>
      </c>
      <c r="B24">
        <v>74</v>
      </c>
      <c r="C24" s="26" t="s">
        <v>65</v>
      </c>
      <c r="D24" s="13" t="s">
        <v>66</v>
      </c>
      <c r="E24" t="s">
        <v>62</v>
      </c>
      <c r="F24">
        <v>101</v>
      </c>
      <c r="Q24" s="12"/>
      <c r="R24" s="24"/>
      <c r="S24" s="12"/>
      <c r="T24" s="12"/>
    </row>
    <row r="25" spans="1:20" x14ac:dyDescent="0.2">
      <c r="A25" s="49">
        <f t="shared" si="0"/>
        <v>1974</v>
      </c>
      <c r="B25">
        <v>74</v>
      </c>
      <c r="C25" s="26" t="s">
        <v>67</v>
      </c>
      <c r="D25" s="13" t="s">
        <v>66</v>
      </c>
      <c r="E25" t="s">
        <v>64</v>
      </c>
      <c r="F25">
        <v>284</v>
      </c>
      <c r="Q25" s="12"/>
      <c r="R25" s="24"/>
      <c r="S25" s="12"/>
      <c r="T25" s="12"/>
    </row>
    <row r="26" spans="1:20" x14ac:dyDescent="0.2">
      <c r="A26" s="49">
        <f t="shared" si="0"/>
        <v>1974</v>
      </c>
      <c r="B26">
        <v>74</v>
      </c>
      <c r="C26" s="26" t="s">
        <v>68</v>
      </c>
      <c r="D26" s="13" t="s">
        <v>69</v>
      </c>
      <c r="E26" t="s">
        <v>62</v>
      </c>
      <c r="F26">
        <v>81</v>
      </c>
      <c r="Q26" s="12"/>
      <c r="R26" s="24"/>
      <c r="S26" s="12"/>
      <c r="T26" s="12"/>
    </row>
    <row r="27" spans="1:20" x14ac:dyDescent="0.2">
      <c r="A27" s="49">
        <f t="shared" si="0"/>
        <v>1974</v>
      </c>
      <c r="B27">
        <v>74</v>
      </c>
      <c r="C27" s="26" t="s">
        <v>71</v>
      </c>
      <c r="D27" s="13" t="s">
        <v>69</v>
      </c>
      <c r="E27" t="s">
        <v>72</v>
      </c>
      <c r="F27">
        <v>1184</v>
      </c>
      <c r="Q27" s="12"/>
      <c r="R27" s="24"/>
      <c r="S27" s="12"/>
      <c r="T27" s="12"/>
    </row>
    <row r="28" spans="1:20" x14ac:dyDescent="0.2">
      <c r="A28" s="49">
        <f t="shared" si="0"/>
        <v>1974</v>
      </c>
      <c r="B28">
        <v>74</v>
      </c>
      <c r="C28" s="26" t="s">
        <v>78</v>
      </c>
      <c r="D28" s="13" t="s">
        <v>76</v>
      </c>
      <c r="E28" t="s">
        <v>79</v>
      </c>
      <c r="F28">
        <v>10</v>
      </c>
      <c r="Q28" s="12"/>
      <c r="R28" s="24"/>
      <c r="S28" s="12"/>
      <c r="T28" s="12"/>
    </row>
    <row r="29" spans="1:20" x14ac:dyDescent="0.2">
      <c r="A29" s="49">
        <f t="shared" si="0"/>
        <v>1975</v>
      </c>
      <c r="B29">
        <v>75</v>
      </c>
      <c r="C29" s="26" t="s">
        <v>60</v>
      </c>
      <c r="D29" s="13" t="s">
        <v>61</v>
      </c>
      <c r="E29" t="s">
        <v>62</v>
      </c>
      <c r="F29">
        <v>371</v>
      </c>
      <c r="Q29" s="12"/>
      <c r="R29" s="24"/>
      <c r="S29" s="12"/>
      <c r="T29" s="12"/>
    </row>
    <row r="30" spans="1:20" x14ac:dyDescent="0.2">
      <c r="A30" s="49">
        <f t="shared" si="0"/>
        <v>1975</v>
      </c>
      <c r="B30">
        <v>75</v>
      </c>
      <c r="C30" s="26" t="s">
        <v>63</v>
      </c>
      <c r="D30" s="13" t="s">
        <v>61</v>
      </c>
      <c r="E30" t="s">
        <v>64</v>
      </c>
      <c r="F30">
        <v>50</v>
      </c>
      <c r="Q30" s="12"/>
      <c r="R30" s="24"/>
      <c r="S30" s="12"/>
      <c r="T30" s="12"/>
    </row>
    <row r="31" spans="1:20" x14ac:dyDescent="0.2">
      <c r="A31" s="49">
        <f t="shared" si="0"/>
        <v>1975</v>
      </c>
      <c r="B31">
        <v>75</v>
      </c>
      <c r="C31" s="26" t="s">
        <v>65</v>
      </c>
      <c r="D31" s="13" t="s">
        <v>66</v>
      </c>
      <c r="E31" t="s">
        <v>62</v>
      </c>
      <c r="F31">
        <v>312</v>
      </c>
      <c r="Q31" s="12"/>
      <c r="R31" s="24"/>
      <c r="S31" s="12"/>
      <c r="T31" s="12"/>
    </row>
    <row r="32" spans="1:20" x14ac:dyDescent="0.2">
      <c r="A32" s="49">
        <f t="shared" si="0"/>
        <v>1975</v>
      </c>
      <c r="B32" s="2">
        <v>75</v>
      </c>
      <c r="C32" s="26" t="s">
        <v>70</v>
      </c>
      <c r="D32" s="13" t="s">
        <v>69</v>
      </c>
      <c r="E32" t="s">
        <v>64</v>
      </c>
      <c r="F32">
        <v>90</v>
      </c>
      <c r="Q32" s="12"/>
      <c r="R32" s="24"/>
      <c r="S32" s="12"/>
      <c r="T32" s="12"/>
    </row>
    <row r="33" spans="1:20" x14ac:dyDescent="0.2">
      <c r="A33" s="49">
        <f t="shared" si="0"/>
        <v>1975</v>
      </c>
      <c r="B33" s="5">
        <v>75</v>
      </c>
      <c r="C33" s="19" t="s">
        <v>71</v>
      </c>
      <c r="D33" s="13" t="s">
        <v>69</v>
      </c>
      <c r="E33" t="s">
        <v>72</v>
      </c>
      <c r="F33">
        <v>77</v>
      </c>
      <c r="Q33" s="12"/>
      <c r="R33" s="24"/>
      <c r="S33" s="12"/>
      <c r="T33" s="12"/>
    </row>
    <row r="34" spans="1:20" x14ac:dyDescent="0.2">
      <c r="A34" s="49">
        <f t="shared" si="0"/>
        <v>1975</v>
      </c>
      <c r="B34" s="2">
        <v>75</v>
      </c>
      <c r="C34" s="26" t="s">
        <v>73</v>
      </c>
      <c r="D34" t="s">
        <v>69</v>
      </c>
      <c r="E34" t="s">
        <v>74</v>
      </c>
      <c r="F34">
        <v>6</v>
      </c>
      <c r="Q34" s="12"/>
      <c r="R34" s="24"/>
      <c r="S34" s="12"/>
      <c r="T34" s="12"/>
    </row>
    <row r="35" spans="1:20" x14ac:dyDescent="0.2">
      <c r="A35" s="49">
        <f t="shared" si="0"/>
        <v>1975</v>
      </c>
      <c r="B35">
        <v>75</v>
      </c>
      <c r="C35" t="s">
        <v>75</v>
      </c>
      <c r="D35" t="s">
        <v>76</v>
      </c>
      <c r="E35" t="s">
        <v>77</v>
      </c>
      <c r="F35">
        <v>1</v>
      </c>
      <c r="Q35" s="12"/>
      <c r="R35" s="24"/>
      <c r="S35" s="12"/>
      <c r="T35" s="12"/>
    </row>
    <row r="36" spans="1:20" x14ac:dyDescent="0.2">
      <c r="A36" s="49">
        <f t="shared" si="0"/>
        <v>1975</v>
      </c>
      <c r="B36">
        <v>75</v>
      </c>
      <c r="C36" t="s">
        <v>78</v>
      </c>
      <c r="D36" t="s">
        <v>76</v>
      </c>
      <c r="E36" t="s">
        <v>79</v>
      </c>
      <c r="F36">
        <v>2</v>
      </c>
      <c r="Q36" s="12"/>
      <c r="R36" s="24"/>
      <c r="S36" s="12"/>
      <c r="T36" s="12"/>
    </row>
    <row r="37" spans="1:20" x14ac:dyDescent="0.2">
      <c r="A37" s="49">
        <f t="shared" si="0"/>
        <v>1975</v>
      </c>
      <c r="B37">
        <v>75</v>
      </c>
      <c r="C37" t="s">
        <v>80</v>
      </c>
      <c r="D37" t="s">
        <v>76</v>
      </c>
      <c r="E37" t="s">
        <v>81</v>
      </c>
      <c r="F37">
        <v>0</v>
      </c>
      <c r="Q37" s="12"/>
      <c r="R37" s="24"/>
      <c r="S37" s="12"/>
      <c r="T37" s="12"/>
    </row>
    <row r="38" spans="1:20" x14ac:dyDescent="0.2">
      <c r="A38" s="49">
        <f t="shared" si="0"/>
        <v>1976</v>
      </c>
      <c r="B38">
        <v>76</v>
      </c>
      <c r="C38" t="s">
        <v>60</v>
      </c>
      <c r="D38" t="s">
        <v>61</v>
      </c>
      <c r="E38" t="s">
        <v>62</v>
      </c>
      <c r="F38">
        <v>545</v>
      </c>
      <c r="I38" s="20"/>
      <c r="J38" s="20"/>
      <c r="K38" s="20"/>
      <c r="L38" s="20"/>
      <c r="M38" s="20"/>
      <c r="N38" s="20"/>
      <c r="O38" s="20"/>
      <c r="Q38" s="25"/>
      <c r="R38" s="24"/>
      <c r="S38" s="25"/>
      <c r="T38" s="25"/>
    </row>
    <row r="39" spans="1:20" x14ac:dyDescent="0.2">
      <c r="A39" s="49">
        <f t="shared" si="0"/>
        <v>1976</v>
      </c>
      <c r="B39">
        <v>76</v>
      </c>
      <c r="C39" t="s">
        <v>63</v>
      </c>
      <c r="D39" t="s">
        <v>61</v>
      </c>
      <c r="E39" t="s">
        <v>64</v>
      </c>
      <c r="F39">
        <v>81</v>
      </c>
      <c r="Q39" s="12"/>
      <c r="R39" s="24"/>
      <c r="S39" s="12"/>
      <c r="T39" s="12"/>
    </row>
    <row r="40" spans="1:20" x14ac:dyDescent="0.2">
      <c r="A40" s="49">
        <f t="shared" si="0"/>
        <v>1976</v>
      </c>
      <c r="B40">
        <v>76</v>
      </c>
      <c r="C40" t="s">
        <v>65</v>
      </c>
      <c r="D40" t="s">
        <v>66</v>
      </c>
      <c r="E40" t="s">
        <v>62</v>
      </c>
      <c r="F40">
        <v>0</v>
      </c>
      <c r="Q40" s="12"/>
      <c r="R40" s="24"/>
      <c r="S40" s="12"/>
      <c r="T40" s="12"/>
    </row>
    <row r="41" spans="1:20" x14ac:dyDescent="0.2">
      <c r="A41" s="49">
        <f t="shared" si="0"/>
        <v>1976</v>
      </c>
      <c r="B41">
        <v>76</v>
      </c>
      <c r="C41" t="s">
        <v>67</v>
      </c>
      <c r="D41" t="s">
        <v>66</v>
      </c>
      <c r="E41" t="s">
        <v>64</v>
      </c>
      <c r="F41">
        <v>1</v>
      </c>
      <c r="Q41" s="12"/>
      <c r="R41" s="24"/>
      <c r="S41" s="12"/>
      <c r="T41" s="12"/>
    </row>
    <row r="42" spans="1:20" x14ac:dyDescent="0.2">
      <c r="A42" s="49">
        <f t="shared" si="0"/>
        <v>1976</v>
      </c>
      <c r="B42">
        <v>76</v>
      </c>
      <c r="C42" t="s">
        <v>68</v>
      </c>
      <c r="D42" t="s">
        <v>69</v>
      </c>
      <c r="E42" t="s">
        <v>62</v>
      </c>
      <c r="F42">
        <v>64</v>
      </c>
      <c r="Q42" s="12"/>
      <c r="R42" s="24"/>
      <c r="S42" s="12"/>
      <c r="T42" s="12"/>
    </row>
    <row r="43" spans="1:20" x14ac:dyDescent="0.2">
      <c r="A43" s="49">
        <f t="shared" si="0"/>
        <v>1976</v>
      </c>
      <c r="B43">
        <v>76</v>
      </c>
      <c r="C43" t="s">
        <v>70</v>
      </c>
      <c r="D43" t="s">
        <v>69</v>
      </c>
      <c r="E43" t="s">
        <v>64</v>
      </c>
      <c r="F43">
        <v>108</v>
      </c>
      <c r="Q43" s="12"/>
      <c r="R43" s="24"/>
      <c r="S43" s="12"/>
      <c r="T43" s="12"/>
    </row>
    <row r="44" spans="1:20" x14ac:dyDescent="0.2">
      <c r="A44" s="49">
        <f t="shared" si="0"/>
        <v>1976</v>
      </c>
      <c r="B44">
        <v>76</v>
      </c>
      <c r="C44" t="s">
        <v>71</v>
      </c>
      <c r="D44" t="s">
        <v>69</v>
      </c>
      <c r="E44" t="s">
        <v>72</v>
      </c>
      <c r="F44">
        <v>0</v>
      </c>
      <c r="Q44" s="12"/>
      <c r="R44" s="24"/>
      <c r="S44" s="12"/>
      <c r="T44" s="12"/>
    </row>
    <row r="45" spans="1:20" x14ac:dyDescent="0.2">
      <c r="A45" s="49">
        <f t="shared" si="0"/>
        <v>1976</v>
      </c>
      <c r="B45">
        <v>76</v>
      </c>
      <c r="C45" t="s">
        <v>73</v>
      </c>
      <c r="D45" t="s">
        <v>69</v>
      </c>
      <c r="E45" t="s">
        <v>74</v>
      </c>
      <c r="F45">
        <v>10</v>
      </c>
      <c r="Q45" s="12"/>
      <c r="R45" s="12"/>
      <c r="S45" s="12"/>
      <c r="T45" s="12"/>
    </row>
    <row r="46" spans="1:20" x14ac:dyDescent="0.2">
      <c r="A46" s="49">
        <f t="shared" si="0"/>
        <v>1976</v>
      </c>
      <c r="B46">
        <v>76</v>
      </c>
      <c r="C46" t="s">
        <v>78</v>
      </c>
      <c r="D46" t="s">
        <v>76</v>
      </c>
      <c r="E46" t="s">
        <v>79</v>
      </c>
      <c r="F46">
        <v>3</v>
      </c>
      <c r="Q46" s="12"/>
      <c r="R46" s="12"/>
      <c r="S46" s="12"/>
      <c r="T46" s="12"/>
    </row>
    <row r="47" spans="1:20" x14ac:dyDescent="0.2">
      <c r="A47" s="49">
        <f t="shared" si="0"/>
        <v>1977</v>
      </c>
      <c r="B47">
        <v>77</v>
      </c>
      <c r="C47" t="s">
        <v>60</v>
      </c>
      <c r="D47" t="s">
        <v>61</v>
      </c>
      <c r="E47" t="s">
        <v>62</v>
      </c>
      <c r="F47">
        <v>1133</v>
      </c>
    </row>
    <row r="48" spans="1:20" x14ac:dyDescent="0.2">
      <c r="A48" s="49">
        <f t="shared" si="0"/>
        <v>1977</v>
      </c>
      <c r="B48">
        <v>77</v>
      </c>
      <c r="C48" t="s">
        <v>63</v>
      </c>
      <c r="D48" t="s">
        <v>61</v>
      </c>
      <c r="E48" t="s">
        <v>64</v>
      </c>
      <c r="F48">
        <v>221</v>
      </c>
    </row>
    <row r="49" spans="1:6" x14ac:dyDescent="0.2">
      <c r="A49" s="49">
        <f t="shared" si="0"/>
        <v>1977</v>
      </c>
      <c r="B49">
        <v>77</v>
      </c>
      <c r="C49" t="s">
        <v>65</v>
      </c>
      <c r="D49" t="s">
        <v>66</v>
      </c>
      <c r="E49" t="s">
        <v>62</v>
      </c>
      <c r="F49">
        <v>124</v>
      </c>
    </row>
    <row r="50" spans="1:6" x14ac:dyDescent="0.2">
      <c r="A50" s="49">
        <f t="shared" si="0"/>
        <v>1977</v>
      </c>
      <c r="B50">
        <v>77</v>
      </c>
      <c r="C50" t="s">
        <v>67</v>
      </c>
      <c r="D50" t="s">
        <v>66</v>
      </c>
      <c r="E50" t="s">
        <v>64</v>
      </c>
      <c r="F50">
        <v>32</v>
      </c>
    </row>
    <row r="51" spans="1:6" x14ac:dyDescent="0.2">
      <c r="A51" s="49">
        <f t="shared" si="0"/>
        <v>1977</v>
      </c>
      <c r="B51">
        <v>77</v>
      </c>
      <c r="C51" t="s">
        <v>68</v>
      </c>
      <c r="D51" t="s">
        <v>69</v>
      </c>
      <c r="E51" t="s">
        <v>62</v>
      </c>
      <c r="F51">
        <v>520</v>
      </c>
    </row>
    <row r="52" spans="1:6" x14ac:dyDescent="0.2">
      <c r="A52" s="49">
        <f t="shared" si="0"/>
        <v>1977</v>
      </c>
      <c r="B52">
        <v>77</v>
      </c>
      <c r="C52" t="s">
        <v>70</v>
      </c>
      <c r="D52" t="s">
        <v>69</v>
      </c>
      <c r="E52" t="s">
        <v>64</v>
      </c>
      <c r="F52">
        <v>262</v>
      </c>
    </row>
    <row r="53" spans="1:6" x14ac:dyDescent="0.2">
      <c r="A53" s="49">
        <f t="shared" si="0"/>
        <v>1977</v>
      </c>
      <c r="B53">
        <v>77</v>
      </c>
      <c r="C53" t="s">
        <v>71</v>
      </c>
      <c r="D53" t="s">
        <v>69</v>
      </c>
      <c r="E53" t="s">
        <v>72</v>
      </c>
      <c r="F53">
        <v>89</v>
      </c>
    </row>
    <row r="54" spans="1:6" x14ac:dyDescent="0.2">
      <c r="A54" s="49">
        <f t="shared" si="0"/>
        <v>1977</v>
      </c>
      <c r="B54">
        <v>77</v>
      </c>
      <c r="C54" t="s">
        <v>73</v>
      </c>
      <c r="D54" t="s">
        <v>69</v>
      </c>
      <c r="E54" t="s">
        <v>74</v>
      </c>
      <c r="F54">
        <v>3</v>
      </c>
    </row>
    <row r="55" spans="1:6" x14ac:dyDescent="0.2">
      <c r="A55" s="49">
        <f t="shared" si="0"/>
        <v>1977</v>
      </c>
      <c r="B55">
        <v>77</v>
      </c>
      <c r="C55" t="s">
        <v>75</v>
      </c>
      <c r="D55" t="s">
        <v>76</v>
      </c>
      <c r="E55" t="s">
        <v>77</v>
      </c>
      <c r="F55">
        <v>1</v>
      </c>
    </row>
    <row r="56" spans="1:6" x14ac:dyDescent="0.2">
      <c r="A56" s="49">
        <f t="shared" si="0"/>
        <v>1977</v>
      </c>
      <c r="B56">
        <v>77</v>
      </c>
      <c r="C56" t="s">
        <v>78</v>
      </c>
      <c r="D56" t="s">
        <v>76</v>
      </c>
      <c r="E56" t="s">
        <v>79</v>
      </c>
      <c r="F56">
        <v>0</v>
      </c>
    </row>
    <row r="57" spans="1:6" x14ac:dyDescent="0.2">
      <c r="A57" s="49">
        <f t="shared" si="0"/>
        <v>1978</v>
      </c>
      <c r="B57">
        <v>78</v>
      </c>
      <c r="C57" t="s">
        <v>60</v>
      </c>
      <c r="D57" t="s">
        <v>61</v>
      </c>
      <c r="E57" t="s">
        <v>62</v>
      </c>
      <c r="F57">
        <v>3047</v>
      </c>
    </row>
    <row r="58" spans="1:6" x14ac:dyDescent="0.2">
      <c r="A58" s="49">
        <f t="shared" si="0"/>
        <v>1978</v>
      </c>
      <c r="B58">
        <v>78</v>
      </c>
      <c r="C58" t="s">
        <v>63</v>
      </c>
      <c r="D58" t="s">
        <v>61</v>
      </c>
      <c r="E58" t="s">
        <v>64</v>
      </c>
      <c r="F58">
        <v>50</v>
      </c>
    </row>
    <row r="59" spans="1:6" x14ac:dyDescent="0.2">
      <c r="A59" s="49">
        <f t="shared" si="0"/>
        <v>1978</v>
      </c>
      <c r="B59">
        <v>78</v>
      </c>
      <c r="C59" t="s">
        <v>67</v>
      </c>
      <c r="D59" t="s">
        <v>66</v>
      </c>
      <c r="E59" t="s">
        <v>64</v>
      </c>
      <c r="F59">
        <v>162</v>
      </c>
    </row>
    <row r="60" spans="1:6" x14ac:dyDescent="0.2">
      <c r="A60" s="49">
        <f t="shared" si="0"/>
        <v>1978</v>
      </c>
      <c r="B60">
        <v>78</v>
      </c>
      <c r="C60" t="s">
        <v>68</v>
      </c>
      <c r="D60" t="s">
        <v>69</v>
      </c>
      <c r="E60" t="s">
        <v>62</v>
      </c>
      <c r="F60">
        <v>1406</v>
      </c>
    </row>
    <row r="61" spans="1:6" x14ac:dyDescent="0.2">
      <c r="A61" s="49">
        <f t="shared" si="0"/>
        <v>1978</v>
      </c>
      <c r="B61">
        <v>78</v>
      </c>
      <c r="C61" t="s">
        <v>70</v>
      </c>
      <c r="D61" t="s">
        <v>69</v>
      </c>
      <c r="E61" t="s">
        <v>64</v>
      </c>
      <c r="F61">
        <v>81</v>
      </c>
    </row>
    <row r="62" spans="1:6" x14ac:dyDescent="0.2">
      <c r="A62" s="49">
        <f t="shared" si="0"/>
        <v>1978</v>
      </c>
      <c r="B62">
        <v>78</v>
      </c>
      <c r="C62" t="s">
        <v>71</v>
      </c>
      <c r="D62" t="s">
        <v>69</v>
      </c>
      <c r="E62" t="s">
        <v>72</v>
      </c>
      <c r="F62">
        <v>269</v>
      </c>
    </row>
    <row r="63" spans="1:6" x14ac:dyDescent="0.2">
      <c r="A63" s="49">
        <f t="shared" si="0"/>
        <v>1978</v>
      </c>
      <c r="B63">
        <v>78</v>
      </c>
      <c r="C63" t="s">
        <v>73</v>
      </c>
      <c r="D63" t="s">
        <v>69</v>
      </c>
      <c r="E63" t="s">
        <v>74</v>
      </c>
      <c r="F63">
        <v>2</v>
      </c>
    </row>
    <row r="64" spans="1:6" x14ac:dyDescent="0.2">
      <c r="A64" s="49">
        <f t="shared" si="0"/>
        <v>1978</v>
      </c>
      <c r="B64">
        <v>78</v>
      </c>
      <c r="C64" t="s">
        <v>75</v>
      </c>
      <c r="D64" t="s">
        <v>76</v>
      </c>
      <c r="E64" t="s">
        <v>77</v>
      </c>
      <c r="F64">
        <v>33</v>
      </c>
    </row>
    <row r="65" spans="1:6" x14ac:dyDescent="0.2">
      <c r="A65" s="49">
        <f t="shared" si="0"/>
        <v>1978</v>
      </c>
      <c r="B65">
        <v>78</v>
      </c>
      <c r="C65" t="s">
        <v>78</v>
      </c>
      <c r="D65" t="s">
        <v>76</v>
      </c>
      <c r="E65" t="s">
        <v>79</v>
      </c>
      <c r="F65">
        <v>3</v>
      </c>
    </row>
    <row r="66" spans="1:6" x14ac:dyDescent="0.2">
      <c r="A66" s="49">
        <f t="shared" si="0"/>
        <v>1979</v>
      </c>
      <c r="B66">
        <v>79</v>
      </c>
      <c r="C66" t="s">
        <v>60</v>
      </c>
      <c r="D66" t="s">
        <v>61</v>
      </c>
      <c r="E66" t="s">
        <v>62</v>
      </c>
      <c r="F66">
        <v>2882</v>
      </c>
    </row>
    <row r="67" spans="1:6" x14ac:dyDescent="0.2">
      <c r="A67" s="49">
        <f t="shared" ref="A67:A130" si="1">1900+B67</f>
        <v>1979</v>
      </c>
      <c r="B67">
        <v>79</v>
      </c>
      <c r="C67" t="s">
        <v>63</v>
      </c>
      <c r="D67" t="s">
        <v>61</v>
      </c>
      <c r="E67" t="s">
        <v>64</v>
      </c>
      <c r="F67">
        <v>2362</v>
      </c>
    </row>
    <row r="68" spans="1:6" x14ac:dyDescent="0.2">
      <c r="A68" s="49">
        <f t="shared" si="1"/>
        <v>1979</v>
      </c>
      <c r="B68">
        <v>79</v>
      </c>
      <c r="C68" t="s">
        <v>65</v>
      </c>
      <c r="D68" t="s">
        <v>66</v>
      </c>
      <c r="E68" t="s">
        <v>62</v>
      </c>
      <c r="F68">
        <v>197</v>
      </c>
    </row>
    <row r="69" spans="1:6" x14ac:dyDescent="0.2">
      <c r="A69" s="49">
        <f t="shared" si="1"/>
        <v>1979</v>
      </c>
      <c r="B69">
        <v>79</v>
      </c>
      <c r="C69" t="s">
        <v>67</v>
      </c>
      <c r="D69" t="s">
        <v>66</v>
      </c>
      <c r="E69" t="s">
        <v>64</v>
      </c>
      <c r="F69">
        <v>10</v>
      </c>
    </row>
    <row r="70" spans="1:6" x14ac:dyDescent="0.2">
      <c r="A70" s="49">
        <f t="shared" si="1"/>
        <v>1979</v>
      </c>
      <c r="B70">
        <v>79</v>
      </c>
      <c r="C70" t="s">
        <v>68</v>
      </c>
      <c r="D70" t="s">
        <v>69</v>
      </c>
      <c r="E70" t="s">
        <v>62</v>
      </c>
      <c r="F70">
        <v>662</v>
      </c>
    </row>
    <row r="71" spans="1:6" x14ac:dyDescent="0.2">
      <c r="A71" s="49">
        <f t="shared" si="1"/>
        <v>1979</v>
      </c>
      <c r="B71">
        <v>79</v>
      </c>
      <c r="C71" t="s">
        <v>70</v>
      </c>
      <c r="D71" t="s">
        <v>69</v>
      </c>
      <c r="E71" t="s">
        <v>64</v>
      </c>
      <c r="F71">
        <v>131</v>
      </c>
    </row>
    <row r="72" spans="1:6" x14ac:dyDescent="0.2">
      <c r="A72" s="49">
        <f t="shared" si="1"/>
        <v>1979</v>
      </c>
      <c r="B72">
        <v>79</v>
      </c>
      <c r="C72" t="s">
        <v>71</v>
      </c>
      <c r="D72" t="s">
        <v>69</v>
      </c>
      <c r="E72" t="s">
        <v>72</v>
      </c>
      <c r="F72">
        <v>507</v>
      </c>
    </row>
    <row r="73" spans="1:6" x14ac:dyDescent="0.2">
      <c r="A73" s="49">
        <f t="shared" si="1"/>
        <v>1979</v>
      </c>
      <c r="B73">
        <v>79</v>
      </c>
      <c r="C73" t="s">
        <v>73</v>
      </c>
      <c r="D73" t="s">
        <v>69</v>
      </c>
      <c r="E73" t="s">
        <v>74</v>
      </c>
      <c r="F73">
        <v>7</v>
      </c>
    </row>
    <row r="74" spans="1:6" x14ac:dyDescent="0.2">
      <c r="A74" s="49">
        <f t="shared" si="1"/>
        <v>1979</v>
      </c>
      <c r="B74">
        <v>79</v>
      </c>
      <c r="C74" t="s">
        <v>78</v>
      </c>
      <c r="D74" t="s">
        <v>76</v>
      </c>
      <c r="E74" t="s">
        <v>79</v>
      </c>
      <c r="F74">
        <v>111</v>
      </c>
    </row>
    <row r="75" spans="1:6" x14ac:dyDescent="0.2">
      <c r="A75" s="49">
        <f t="shared" si="1"/>
        <v>1979</v>
      </c>
      <c r="B75">
        <v>79</v>
      </c>
      <c r="C75" t="s">
        <v>80</v>
      </c>
      <c r="D75" t="s">
        <v>76</v>
      </c>
      <c r="E75" t="s">
        <v>81</v>
      </c>
      <c r="F75">
        <v>89</v>
      </c>
    </row>
    <row r="76" spans="1:6" x14ac:dyDescent="0.2">
      <c r="A76" s="49">
        <f t="shared" si="1"/>
        <v>1980</v>
      </c>
      <c r="B76">
        <v>80</v>
      </c>
      <c r="C76" t="s">
        <v>60</v>
      </c>
      <c r="D76" t="s">
        <v>61</v>
      </c>
      <c r="E76" t="s">
        <v>62</v>
      </c>
      <c r="F76">
        <v>3534</v>
      </c>
    </row>
    <row r="77" spans="1:6" x14ac:dyDescent="0.2">
      <c r="A77" s="49">
        <f t="shared" si="1"/>
        <v>1980</v>
      </c>
      <c r="B77">
        <v>80</v>
      </c>
      <c r="C77" t="s">
        <v>63</v>
      </c>
      <c r="D77" t="s">
        <v>61</v>
      </c>
      <c r="E77" t="s">
        <v>64</v>
      </c>
      <c r="F77">
        <v>720</v>
      </c>
    </row>
    <row r="78" spans="1:6" x14ac:dyDescent="0.2">
      <c r="A78" s="49">
        <f t="shared" si="1"/>
        <v>1980</v>
      </c>
      <c r="B78">
        <v>80</v>
      </c>
      <c r="C78" t="s">
        <v>65</v>
      </c>
      <c r="D78" t="s">
        <v>66</v>
      </c>
      <c r="E78" t="s">
        <v>62</v>
      </c>
      <c r="F78">
        <v>21</v>
      </c>
    </row>
    <row r="79" spans="1:6" x14ac:dyDescent="0.2">
      <c r="A79" s="49">
        <f t="shared" si="1"/>
        <v>1980</v>
      </c>
      <c r="B79">
        <v>80</v>
      </c>
      <c r="C79" t="s">
        <v>67</v>
      </c>
      <c r="D79" t="s">
        <v>66</v>
      </c>
      <c r="E79" t="s">
        <v>64</v>
      </c>
      <c r="F79">
        <v>1</v>
      </c>
    </row>
    <row r="80" spans="1:6" x14ac:dyDescent="0.2">
      <c r="A80" s="49">
        <f t="shared" si="1"/>
        <v>1980</v>
      </c>
      <c r="B80">
        <v>80</v>
      </c>
      <c r="C80" t="s">
        <v>68</v>
      </c>
      <c r="D80" t="s">
        <v>69</v>
      </c>
      <c r="E80" t="s">
        <v>62</v>
      </c>
      <c r="F80">
        <v>317</v>
      </c>
    </row>
    <row r="81" spans="1:6" x14ac:dyDescent="0.2">
      <c r="A81" s="49">
        <f t="shared" si="1"/>
        <v>1980</v>
      </c>
      <c r="B81">
        <v>80</v>
      </c>
      <c r="C81" t="s">
        <v>70</v>
      </c>
      <c r="D81" t="s">
        <v>69</v>
      </c>
      <c r="E81" t="s">
        <v>64</v>
      </c>
      <c r="F81">
        <v>188</v>
      </c>
    </row>
    <row r="82" spans="1:6" x14ac:dyDescent="0.2">
      <c r="A82" s="49">
        <f t="shared" si="1"/>
        <v>1980</v>
      </c>
      <c r="B82">
        <v>80</v>
      </c>
      <c r="C82" t="s">
        <v>71</v>
      </c>
      <c r="D82" t="s">
        <v>69</v>
      </c>
      <c r="E82" t="s">
        <v>72</v>
      </c>
      <c r="F82">
        <v>9</v>
      </c>
    </row>
    <row r="83" spans="1:6" x14ac:dyDescent="0.2">
      <c r="A83" s="49">
        <f t="shared" si="1"/>
        <v>1980</v>
      </c>
      <c r="B83">
        <v>80</v>
      </c>
      <c r="C83" t="s">
        <v>73</v>
      </c>
      <c r="D83" t="s">
        <v>69</v>
      </c>
      <c r="E83" t="s">
        <v>74</v>
      </c>
      <c r="F83">
        <v>13</v>
      </c>
    </row>
    <row r="84" spans="1:6" x14ac:dyDescent="0.2">
      <c r="A84" s="49">
        <f t="shared" si="1"/>
        <v>1980</v>
      </c>
      <c r="B84">
        <v>80</v>
      </c>
      <c r="C84" t="s">
        <v>75</v>
      </c>
      <c r="D84" t="s">
        <v>76</v>
      </c>
      <c r="E84" t="s">
        <v>77</v>
      </c>
      <c r="F84">
        <v>247</v>
      </c>
    </row>
    <row r="85" spans="1:6" x14ac:dyDescent="0.2">
      <c r="A85" s="49">
        <f t="shared" si="1"/>
        <v>1980</v>
      </c>
      <c r="B85">
        <v>80</v>
      </c>
      <c r="C85" t="s">
        <v>78</v>
      </c>
      <c r="D85" t="s">
        <v>76</v>
      </c>
      <c r="E85" t="s">
        <v>79</v>
      </c>
      <c r="F85">
        <v>129</v>
      </c>
    </row>
    <row r="86" spans="1:6" x14ac:dyDescent="0.2">
      <c r="A86" s="49">
        <f t="shared" si="1"/>
        <v>1980</v>
      </c>
      <c r="B86">
        <v>80</v>
      </c>
      <c r="C86" t="s">
        <v>80</v>
      </c>
      <c r="D86" t="s">
        <v>76</v>
      </c>
      <c r="E86" t="s">
        <v>81</v>
      </c>
      <c r="F86">
        <v>40</v>
      </c>
    </row>
    <row r="87" spans="1:6" x14ac:dyDescent="0.2">
      <c r="A87" s="49">
        <f t="shared" si="1"/>
        <v>1981</v>
      </c>
      <c r="B87">
        <v>81</v>
      </c>
      <c r="C87" t="s">
        <v>60</v>
      </c>
      <c r="D87" t="s">
        <v>61</v>
      </c>
      <c r="E87" t="s">
        <v>62</v>
      </c>
      <c r="F87">
        <v>3667</v>
      </c>
    </row>
    <row r="88" spans="1:6" x14ac:dyDescent="0.2">
      <c r="A88" s="49">
        <f t="shared" si="1"/>
        <v>1981</v>
      </c>
      <c r="B88">
        <v>81</v>
      </c>
      <c r="C88" t="s">
        <v>63</v>
      </c>
      <c r="D88" t="s">
        <v>61</v>
      </c>
      <c r="E88" t="s">
        <v>64</v>
      </c>
      <c r="F88">
        <v>277</v>
      </c>
    </row>
    <row r="89" spans="1:6" x14ac:dyDescent="0.2">
      <c r="A89" s="49">
        <f t="shared" si="1"/>
        <v>1981</v>
      </c>
      <c r="B89">
        <v>81</v>
      </c>
      <c r="C89" t="s">
        <v>65</v>
      </c>
      <c r="D89" t="s">
        <v>66</v>
      </c>
      <c r="E89" t="s">
        <v>62</v>
      </c>
      <c r="F89">
        <v>3</v>
      </c>
    </row>
    <row r="90" spans="1:6" x14ac:dyDescent="0.2">
      <c r="A90" s="49">
        <f t="shared" si="1"/>
        <v>1981</v>
      </c>
      <c r="B90">
        <v>81</v>
      </c>
      <c r="C90" t="s">
        <v>67</v>
      </c>
      <c r="D90" t="s">
        <v>66</v>
      </c>
      <c r="E90" t="s">
        <v>64</v>
      </c>
      <c r="F90">
        <v>12</v>
      </c>
    </row>
    <row r="91" spans="1:6" x14ac:dyDescent="0.2">
      <c r="A91" s="49">
        <f t="shared" si="1"/>
        <v>1981</v>
      </c>
      <c r="B91">
        <v>81</v>
      </c>
      <c r="C91" t="s">
        <v>68</v>
      </c>
      <c r="D91" t="s">
        <v>69</v>
      </c>
      <c r="E91" t="s">
        <v>62</v>
      </c>
      <c r="F91">
        <v>903</v>
      </c>
    </row>
    <row r="92" spans="1:6" x14ac:dyDescent="0.2">
      <c r="A92" s="49">
        <f t="shared" si="1"/>
        <v>1981</v>
      </c>
      <c r="B92">
        <v>81</v>
      </c>
      <c r="C92" t="s">
        <v>70</v>
      </c>
      <c r="D92" t="s">
        <v>69</v>
      </c>
      <c r="E92" t="s">
        <v>64</v>
      </c>
      <c r="F92">
        <v>235</v>
      </c>
    </row>
    <row r="93" spans="1:6" x14ac:dyDescent="0.2">
      <c r="A93" s="49">
        <f t="shared" si="1"/>
        <v>1981</v>
      </c>
      <c r="B93">
        <v>81</v>
      </c>
      <c r="C93" t="s">
        <v>71</v>
      </c>
      <c r="D93" t="s">
        <v>69</v>
      </c>
      <c r="E93" t="s">
        <v>72</v>
      </c>
      <c r="F93">
        <v>119</v>
      </c>
    </row>
    <row r="94" spans="1:6" x14ac:dyDescent="0.2">
      <c r="A94" s="49">
        <f t="shared" si="1"/>
        <v>1981</v>
      </c>
      <c r="B94">
        <v>81</v>
      </c>
      <c r="C94" t="s">
        <v>73</v>
      </c>
      <c r="D94" t="s">
        <v>69</v>
      </c>
      <c r="E94" t="s">
        <v>74</v>
      </c>
      <c r="F94">
        <v>0</v>
      </c>
    </row>
    <row r="95" spans="1:6" x14ac:dyDescent="0.2">
      <c r="A95" s="49">
        <f t="shared" si="1"/>
        <v>1981</v>
      </c>
      <c r="B95">
        <v>81</v>
      </c>
      <c r="C95" t="s">
        <v>75</v>
      </c>
      <c r="D95" t="s">
        <v>76</v>
      </c>
      <c r="E95" t="s">
        <v>77</v>
      </c>
      <c r="F95">
        <v>1456</v>
      </c>
    </row>
    <row r="96" spans="1:6" x14ac:dyDescent="0.2">
      <c r="A96" s="49">
        <f t="shared" si="1"/>
        <v>1981</v>
      </c>
      <c r="B96">
        <v>81</v>
      </c>
      <c r="C96" t="s">
        <v>80</v>
      </c>
      <c r="D96" t="s">
        <v>76</v>
      </c>
      <c r="E96" t="s">
        <v>81</v>
      </c>
      <c r="F96">
        <v>70</v>
      </c>
    </row>
    <row r="97" spans="1:6" x14ac:dyDescent="0.2">
      <c r="A97" s="49">
        <f t="shared" si="1"/>
        <v>1982</v>
      </c>
      <c r="B97">
        <v>82</v>
      </c>
      <c r="C97" t="s">
        <v>60</v>
      </c>
      <c r="D97" t="s">
        <v>61</v>
      </c>
      <c r="E97" t="s">
        <v>62</v>
      </c>
      <c r="F97">
        <v>2353</v>
      </c>
    </row>
    <row r="98" spans="1:6" x14ac:dyDescent="0.2">
      <c r="A98" s="49">
        <f t="shared" si="1"/>
        <v>1982</v>
      </c>
      <c r="B98">
        <v>82</v>
      </c>
      <c r="C98" t="s">
        <v>63</v>
      </c>
      <c r="D98" t="s">
        <v>61</v>
      </c>
      <c r="E98" t="s">
        <v>64</v>
      </c>
      <c r="F98">
        <v>1116</v>
      </c>
    </row>
    <row r="99" spans="1:6" x14ac:dyDescent="0.2">
      <c r="A99" s="49">
        <f t="shared" si="1"/>
        <v>1982</v>
      </c>
      <c r="B99">
        <v>82</v>
      </c>
      <c r="C99" t="s">
        <v>65</v>
      </c>
      <c r="D99" t="s">
        <v>66</v>
      </c>
      <c r="E99" t="s">
        <v>62</v>
      </c>
      <c r="F99">
        <v>340</v>
      </c>
    </row>
    <row r="100" spans="1:6" x14ac:dyDescent="0.2">
      <c r="A100" s="49">
        <f t="shared" si="1"/>
        <v>1982</v>
      </c>
      <c r="B100">
        <v>82</v>
      </c>
      <c r="C100" t="s">
        <v>67</v>
      </c>
      <c r="D100" t="s">
        <v>66</v>
      </c>
      <c r="E100" t="s">
        <v>64</v>
      </c>
      <c r="F100">
        <v>257</v>
      </c>
    </row>
    <row r="101" spans="1:6" x14ac:dyDescent="0.2">
      <c r="A101" s="49">
        <f t="shared" si="1"/>
        <v>1982</v>
      </c>
      <c r="B101">
        <v>82</v>
      </c>
      <c r="C101" t="s">
        <v>68</v>
      </c>
      <c r="D101" t="s">
        <v>69</v>
      </c>
      <c r="E101" t="s">
        <v>62</v>
      </c>
      <c r="F101">
        <v>86</v>
      </c>
    </row>
    <row r="102" spans="1:6" x14ac:dyDescent="0.2">
      <c r="A102" s="49">
        <f t="shared" si="1"/>
        <v>1982</v>
      </c>
      <c r="B102">
        <v>82</v>
      </c>
      <c r="C102" t="s">
        <v>70</v>
      </c>
      <c r="D102" t="s">
        <v>69</v>
      </c>
      <c r="E102" t="s">
        <v>64</v>
      </c>
      <c r="F102">
        <v>64</v>
      </c>
    </row>
    <row r="103" spans="1:6" x14ac:dyDescent="0.2">
      <c r="A103" s="49">
        <f t="shared" si="1"/>
        <v>1982</v>
      </c>
      <c r="B103">
        <v>82</v>
      </c>
      <c r="C103" t="s">
        <v>71</v>
      </c>
      <c r="D103" t="s">
        <v>69</v>
      </c>
      <c r="E103" t="s">
        <v>72</v>
      </c>
      <c r="F103">
        <v>1077</v>
      </c>
    </row>
    <row r="104" spans="1:6" x14ac:dyDescent="0.2">
      <c r="A104" s="49">
        <f t="shared" si="1"/>
        <v>1982</v>
      </c>
      <c r="B104">
        <v>82</v>
      </c>
      <c r="C104" t="s">
        <v>73</v>
      </c>
      <c r="D104" t="s">
        <v>69</v>
      </c>
      <c r="E104" t="s">
        <v>74</v>
      </c>
      <c r="F104">
        <v>23</v>
      </c>
    </row>
    <row r="105" spans="1:6" x14ac:dyDescent="0.2">
      <c r="A105" s="49">
        <f t="shared" si="1"/>
        <v>1982</v>
      </c>
      <c r="B105">
        <v>82</v>
      </c>
      <c r="C105" t="s">
        <v>75</v>
      </c>
      <c r="D105" t="s">
        <v>76</v>
      </c>
      <c r="E105" t="s">
        <v>77</v>
      </c>
      <c r="F105">
        <v>710</v>
      </c>
    </row>
    <row r="106" spans="1:6" x14ac:dyDescent="0.2">
      <c r="A106" s="49">
        <f t="shared" si="1"/>
        <v>1982</v>
      </c>
      <c r="B106">
        <v>82</v>
      </c>
      <c r="C106" t="s">
        <v>78</v>
      </c>
      <c r="D106" t="s">
        <v>76</v>
      </c>
      <c r="E106" t="s">
        <v>79</v>
      </c>
      <c r="F106">
        <v>275</v>
      </c>
    </row>
    <row r="107" spans="1:6" x14ac:dyDescent="0.2">
      <c r="A107" s="49">
        <f t="shared" si="1"/>
        <v>1982</v>
      </c>
      <c r="B107">
        <v>82</v>
      </c>
      <c r="C107" t="s">
        <v>80</v>
      </c>
      <c r="D107" t="s">
        <v>76</v>
      </c>
      <c r="E107" t="s">
        <v>81</v>
      </c>
      <c r="F107">
        <v>54</v>
      </c>
    </row>
    <row r="108" spans="1:6" x14ac:dyDescent="0.2">
      <c r="A108" s="49">
        <f t="shared" si="1"/>
        <v>1983</v>
      </c>
      <c r="B108">
        <v>83</v>
      </c>
      <c r="C108" t="s">
        <v>60</v>
      </c>
      <c r="D108" t="s">
        <v>61</v>
      </c>
      <c r="E108" t="s">
        <v>62</v>
      </c>
      <c r="F108">
        <v>2579</v>
      </c>
    </row>
    <row r="109" spans="1:6" x14ac:dyDescent="0.2">
      <c r="A109" s="49">
        <f t="shared" si="1"/>
        <v>1983</v>
      </c>
      <c r="B109">
        <v>83</v>
      </c>
      <c r="C109" t="s">
        <v>63</v>
      </c>
      <c r="D109" t="s">
        <v>61</v>
      </c>
      <c r="E109" t="s">
        <v>64</v>
      </c>
      <c r="F109">
        <v>812</v>
      </c>
    </row>
    <row r="110" spans="1:6" x14ac:dyDescent="0.2">
      <c r="A110" s="49">
        <f t="shared" si="1"/>
        <v>1983</v>
      </c>
      <c r="B110">
        <v>83</v>
      </c>
      <c r="C110" t="s">
        <v>65</v>
      </c>
      <c r="D110" t="s">
        <v>66</v>
      </c>
      <c r="E110" t="s">
        <v>62</v>
      </c>
      <c r="F110">
        <v>3647</v>
      </c>
    </row>
    <row r="111" spans="1:6" x14ac:dyDescent="0.2">
      <c r="A111" s="49">
        <f t="shared" si="1"/>
        <v>1983</v>
      </c>
      <c r="B111">
        <v>83</v>
      </c>
      <c r="C111" t="s">
        <v>67</v>
      </c>
      <c r="D111" t="s">
        <v>66</v>
      </c>
      <c r="E111" t="s">
        <v>64</v>
      </c>
      <c r="F111">
        <v>768</v>
      </c>
    </row>
    <row r="112" spans="1:6" x14ac:dyDescent="0.2">
      <c r="A112" s="49">
        <f t="shared" si="1"/>
        <v>1983</v>
      </c>
      <c r="B112">
        <v>83</v>
      </c>
      <c r="C112" t="s">
        <v>68</v>
      </c>
      <c r="D112" t="s">
        <v>69</v>
      </c>
      <c r="E112" t="s">
        <v>62</v>
      </c>
      <c r="F112">
        <v>1459</v>
      </c>
    </row>
    <row r="113" spans="1:6" x14ac:dyDescent="0.2">
      <c r="A113" s="49">
        <f t="shared" si="1"/>
        <v>1983</v>
      </c>
      <c r="B113">
        <v>83</v>
      </c>
      <c r="C113" t="s">
        <v>70</v>
      </c>
      <c r="D113" t="s">
        <v>69</v>
      </c>
      <c r="E113" t="s">
        <v>64</v>
      </c>
      <c r="F113">
        <v>281</v>
      </c>
    </row>
    <row r="114" spans="1:6" x14ac:dyDescent="0.2">
      <c r="A114" s="49">
        <f t="shared" si="1"/>
        <v>1983</v>
      </c>
      <c r="B114">
        <v>83</v>
      </c>
      <c r="C114" t="s">
        <v>71</v>
      </c>
      <c r="D114" t="s">
        <v>69</v>
      </c>
      <c r="E114" t="s">
        <v>72</v>
      </c>
      <c r="F114">
        <v>63</v>
      </c>
    </row>
    <row r="115" spans="1:6" x14ac:dyDescent="0.2">
      <c r="A115" s="49">
        <f t="shared" si="1"/>
        <v>1983</v>
      </c>
      <c r="B115">
        <v>83</v>
      </c>
      <c r="C115" t="s">
        <v>75</v>
      </c>
      <c r="D115" t="s">
        <v>76</v>
      </c>
      <c r="E115" t="s">
        <v>77</v>
      </c>
      <c r="F115">
        <v>71</v>
      </c>
    </row>
    <row r="116" spans="1:6" x14ac:dyDescent="0.2">
      <c r="A116" s="49">
        <f t="shared" si="1"/>
        <v>1983</v>
      </c>
      <c r="B116">
        <v>83</v>
      </c>
      <c r="C116" t="s">
        <v>78</v>
      </c>
      <c r="D116" t="s">
        <v>76</v>
      </c>
      <c r="E116" t="s">
        <v>79</v>
      </c>
      <c r="F116">
        <v>243</v>
      </c>
    </row>
    <row r="117" spans="1:6" x14ac:dyDescent="0.2">
      <c r="A117" s="49">
        <f t="shared" si="1"/>
        <v>1983</v>
      </c>
      <c r="B117">
        <v>83</v>
      </c>
      <c r="C117" t="s">
        <v>80</v>
      </c>
      <c r="D117" t="s">
        <v>76</v>
      </c>
      <c r="E117" t="s">
        <v>81</v>
      </c>
      <c r="F117">
        <v>58</v>
      </c>
    </row>
    <row r="118" spans="1:6" x14ac:dyDescent="0.2">
      <c r="A118" s="49">
        <f t="shared" si="1"/>
        <v>1984</v>
      </c>
      <c r="B118">
        <v>84</v>
      </c>
      <c r="C118" t="s">
        <v>60</v>
      </c>
      <c r="D118" t="s">
        <v>61</v>
      </c>
      <c r="E118" t="s">
        <v>62</v>
      </c>
      <c r="F118">
        <v>1795</v>
      </c>
    </row>
    <row r="119" spans="1:6" x14ac:dyDescent="0.2">
      <c r="A119" s="49">
        <f t="shared" si="1"/>
        <v>1984</v>
      </c>
      <c r="B119">
        <v>84</v>
      </c>
      <c r="C119" t="s">
        <v>63</v>
      </c>
      <c r="D119" t="s">
        <v>61</v>
      </c>
      <c r="E119" t="s">
        <v>64</v>
      </c>
      <c r="F119">
        <v>1912</v>
      </c>
    </row>
    <row r="120" spans="1:6" x14ac:dyDescent="0.2">
      <c r="A120" s="49">
        <f t="shared" si="1"/>
        <v>1984</v>
      </c>
      <c r="B120">
        <v>84</v>
      </c>
      <c r="C120" t="s">
        <v>65</v>
      </c>
      <c r="D120" t="s">
        <v>66</v>
      </c>
      <c r="E120" t="s">
        <v>62</v>
      </c>
      <c r="F120">
        <v>2327</v>
      </c>
    </row>
    <row r="121" spans="1:6" x14ac:dyDescent="0.2">
      <c r="A121" s="49">
        <f t="shared" si="1"/>
        <v>1984</v>
      </c>
      <c r="B121">
        <v>84</v>
      </c>
      <c r="C121" t="s">
        <v>67</v>
      </c>
      <c r="D121" t="s">
        <v>66</v>
      </c>
      <c r="E121" t="s">
        <v>64</v>
      </c>
      <c r="F121">
        <v>1853</v>
      </c>
    </row>
    <row r="122" spans="1:6" x14ac:dyDescent="0.2">
      <c r="A122" s="49">
        <f t="shared" si="1"/>
        <v>1984</v>
      </c>
      <c r="B122">
        <v>84</v>
      </c>
      <c r="C122" t="s">
        <v>68</v>
      </c>
      <c r="D122" t="s">
        <v>69</v>
      </c>
      <c r="E122" t="s">
        <v>62</v>
      </c>
      <c r="F122">
        <v>688</v>
      </c>
    </row>
    <row r="123" spans="1:6" x14ac:dyDescent="0.2">
      <c r="A123" s="49">
        <f t="shared" si="1"/>
        <v>1984</v>
      </c>
      <c r="B123">
        <v>84</v>
      </c>
      <c r="C123" t="s">
        <v>70</v>
      </c>
      <c r="D123" t="s">
        <v>69</v>
      </c>
      <c r="E123" t="s">
        <v>64</v>
      </c>
      <c r="F123">
        <v>2404</v>
      </c>
    </row>
    <row r="124" spans="1:6" x14ac:dyDescent="0.2">
      <c r="A124" s="49">
        <f t="shared" si="1"/>
        <v>1984</v>
      </c>
      <c r="B124">
        <v>84</v>
      </c>
      <c r="C124" t="s">
        <v>71</v>
      </c>
      <c r="D124" t="s">
        <v>69</v>
      </c>
      <c r="E124" t="s">
        <v>72</v>
      </c>
      <c r="F124">
        <v>824</v>
      </c>
    </row>
    <row r="125" spans="1:6" x14ac:dyDescent="0.2">
      <c r="A125" s="49">
        <f t="shared" si="1"/>
        <v>1984</v>
      </c>
      <c r="B125">
        <v>84</v>
      </c>
      <c r="C125" t="s">
        <v>73</v>
      </c>
      <c r="D125" t="s">
        <v>69</v>
      </c>
      <c r="E125" t="s">
        <v>74</v>
      </c>
      <c r="F125">
        <v>433</v>
      </c>
    </row>
    <row r="126" spans="1:6" x14ac:dyDescent="0.2">
      <c r="A126" s="49">
        <f t="shared" si="1"/>
        <v>1984</v>
      </c>
      <c r="B126">
        <v>84</v>
      </c>
      <c r="C126" t="s">
        <v>75</v>
      </c>
      <c r="D126" t="s">
        <v>76</v>
      </c>
      <c r="E126" t="s">
        <v>77</v>
      </c>
      <c r="F126">
        <v>523</v>
      </c>
    </row>
    <row r="127" spans="1:6" x14ac:dyDescent="0.2">
      <c r="A127" s="49">
        <f t="shared" si="1"/>
        <v>1984</v>
      </c>
      <c r="B127">
        <v>84</v>
      </c>
      <c r="C127" t="s">
        <v>78</v>
      </c>
      <c r="D127" t="s">
        <v>76</v>
      </c>
      <c r="E127" t="s">
        <v>79</v>
      </c>
      <c r="F127">
        <v>185</v>
      </c>
    </row>
    <row r="128" spans="1:6" x14ac:dyDescent="0.2">
      <c r="A128" s="49">
        <f t="shared" si="1"/>
        <v>1984</v>
      </c>
      <c r="B128">
        <v>84</v>
      </c>
      <c r="C128" t="s">
        <v>80</v>
      </c>
      <c r="D128" t="s">
        <v>76</v>
      </c>
      <c r="E128" t="s">
        <v>81</v>
      </c>
      <c r="F128">
        <v>39</v>
      </c>
    </row>
    <row r="129" spans="1:6" x14ac:dyDescent="0.2">
      <c r="A129" s="49">
        <f t="shared" si="1"/>
        <v>1985</v>
      </c>
      <c r="B129">
        <v>85</v>
      </c>
      <c r="C129" t="s">
        <v>60</v>
      </c>
      <c r="D129" t="s">
        <v>61</v>
      </c>
      <c r="E129" t="s">
        <v>62</v>
      </c>
      <c r="F129">
        <v>5632</v>
      </c>
    </row>
    <row r="130" spans="1:6" x14ac:dyDescent="0.2">
      <c r="A130" s="49">
        <f t="shared" si="1"/>
        <v>1985</v>
      </c>
      <c r="B130">
        <v>85</v>
      </c>
      <c r="C130" t="s">
        <v>63</v>
      </c>
      <c r="D130" t="s">
        <v>61</v>
      </c>
      <c r="E130" t="s">
        <v>64</v>
      </c>
      <c r="F130">
        <v>3432</v>
      </c>
    </row>
    <row r="131" spans="1:6" x14ac:dyDescent="0.2">
      <c r="A131" s="49">
        <f t="shared" ref="A131:A194" si="2">1900+B131</f>
        <v>1985</v>
      </c>
      <c r="B131">
        <v>85</v>
      </c>
      <c r="C131" t="s">
        <v>65</v>
      </c>
      <c r="D131" t="s">
        <v>66</v>
      </c>
      <c r="E131" t="s">
        <v>62</v>
      </c>
      <c r="F131">
        <v>2521</v>
      </c>
    </row>
    <row r="132" spans="1:6" x14ac:dyDescent="0.2">
      <c r="A132" s="49">
        <f t="shared" si="2"/>
        <v>1985</v>
      </c>
      <c r="B132">
        <v>85</v>
      </c>
      <c r="C132" t="s">
        <v>67</v>
      </c>
      <c r="D132" t="s">
        <v>66</v>
      </c>
      <c r="E132" t="s">
        <v>64</v>
      </c>
      <c r="F132">
        <v>1812</v>
      </c>
    </row>
    <row r="133" spans="1:6" x14ac:dyDescent="0.2">
      <c r="A133" s="49">
        <f t="shared" si="2"/>
        <v>1985</v>
      </c>
      <c r="B133">
        <v>85</v>
      </c>
      <c r="C133" t="s">
        <v>68</v>
      </c>
      <c r="D133" t="s">
        <v>69</v>
      </c>
      <c r="E133" t="s">
        <v>62</v>
      </c>
      <c r="F133">
        <v>130</v>
      </c>
    </row>
    <row r="134" spans="1:6" x14ac:dyDescent="0.2">
      <c r="A134" s="49">
        <f t="shared" si="2"/>
        <v>1985</v>
      </c>
      <c r="B134">
        <v>85</v>
      </c>
      <c r="C134" t="s">
        <v>70</v>
      </c>
      <c r="D134" t="s">
        <v>69</v>
      </c>
      <c r="E134" t="s">
        <v>64</v>
      </c>
      <c r="F134">
        <v>13039</v>
      </c>
    </row>
    <row r="135" spans="1:6" x14ac:dyDescent="0.2">
      <c r="A135" s="49">
        <f t="shared" si="2"/>
        <v>1985</v>
      </c>
      <c r="B135">
        <v>85</v>
      </c>
      <c r="C135" t="s">
        <v>71</v>
      </c>
      <c r="D135" t="s">
        <v>69</v>
      </c>
      <c r="E135" t="s">
        <v>72</v>
      </c>
      <c r="F135">
        <v>1794</v>
      </c>
    </row>
    <row r="136" spans="1:6" x14ac:dyDescent="0.2">
      <c r="A136" s="49">
        <f t="shared" si="2"/>
        <v>1985</v>
      </c>
      <c r="B136">
        <v>85</v>
      </c>
      <c r="C136" t="s">
        <v>73</v>
      </c>
      <c r="D136" t="s">
        <v>69</v>
      </c>
      <c r="E136" t="s">
        <v>74</v>
      </c>
      <c r="F136">
        <v>215</v>
      </c>
    </row>
    <row r="137" spans="1:6" x14ac:dyDescent="0.2">
      <c r="A137" s="49">
        <f t="shared" si="2"/>
        <v>1985</v>
      </c>
      <c r="B137">
        <v>85</v>
      </c>
      <c r="C137" t="s">
        <v>75</v>
      </c>
      <c r="D137" t="s">
        <v>76</v>
      </c>
      <c r="E137" t="s">
        <v>77</v>
      </c>
      <c r="F137">
        <v>1851</v>
      </c>
    </row>
    <row r="138" spans="1:6" x14ac:dyDescent="0.2">
      <c r="A138" s="49">
        <f t="shared" si="2"/>
        <v>1985</v>
      </c>
      <c r="B138">
        <v>85</v>
      </c>
      <c r="C138" t="s">
        <v>78</v>
      </c>
      <c r="D138" t="s">
        <v>76</v>
      </c>
      <c r="E138" t="s">
        <v>79</v>
      </c>
      <c r="F138">
        <v>407</v>
      </c>
    </row>
    <row r="139" spans="1:6" x14ac:dyDescent="0.2">
      <c r="A139" s="49">
        <f t="shared" si="2"/>
        <v>1985</v>
      </c>
      <c r="B139">
        <v>85</v>
      </c>
      <c r="C139" t="s">
        <v>80</v>
      </c>
      <c r="D139" t="s">
        <v>76</v>
      </c>
      <c r="E139" t="s">
        <v>81</v>
      </c>
      <c r="F139">
        <v>38</v>
      </c>
    </row>
    <row r="140" spans="1:6" x14ac:dyDescent="0.2">
      <c r="A140" s="49">
        <f t="shared" si="2"/>
        <v>1986</v>
      </c>
      <c r="B140">
        <v>86</v>
      </c>
      <c r="C140" t="s">
        <v>60</v>
      </c>
      <c r="D140" t="s">
        <v>61</v>
      </c>
      <c r="E140" t="s">
        <v>62</v>
      </c>
      <c r="F140">
        <v>3529</v>
      </c>
    </row>
    <row r="141" spans="1:6" x14ac:dyDescent="0.2">
      <c r="A141" s="49">
        <f t="shared" si="2"/>
        <v>1986</v>
      </c>
      <c r="B141">
        <v>86</v>
      </c>
      <c r="C141" t="s">
        <v>63</v>
      </c>
      <c r="D141" t="s">
        <v>61</v>
      </c>
      <c r="E141" t="s">
        <v>64</v>
      </c>
      <c r="F141">
        <v>1842</v>
      </c>
    </row>
    <row r="142" spans="1:6" x14ac:dyDescent="0.2">
      <c r="A142" s="49">
        <f t="shared" si="2"/>
        <v>1986</v>
      </c>
      <c r="B142">
        <v>86</v>
      </c>
      <c r="C142" t="s">
        <v>65</v>
      </c>
      <c r="D142" t="s">
        <v>66</v>
      </c>
      <c r="E142" t="s">
        <v>62</v>
      </c>
      <c r="F142">
        <v>3278</v>
      </c>
    </row>
    <row r="143" spans="1:6" x14ac:dyDescent="0.2">
      <c r="A143" s="49">
        <f t="shared" si="2"/>
        <v>1986</v>
      </c>
      <c r="B143">
        <v>86</v>
      </c>
      <c r="C143" t="s">
        <v>67</v>
      </c>
      <c r="D143" t="s">
        <v>66</v>
      </c>
      <c r="E143" t="s">
        <v>64</v>
      </c>
      <c r="F143">
        <v>341</v>
      </c>
    </row>
    <row r="144" spans="1:6" x14ac:dyDescent="0.2">
      <c r="A144" s="49">
        <f t="shared" si="2"/>
        <v>1986</v>
      </c>
      <c r="B144">
        <v>86</v>
      </c>
      <c r="C144" t="s">
        <v>68</v>
      </c>
      <c r="D144" t="s">
        <v>69</v>
      </c>
      <c r="E144" t="s">
        <v>62</v>
      </c>
      <c r="F144">
        <v>1611</v>
      </c>
    </row>
    <row r="145" spans="1:6" x14ac:dyDescent="0.2">
      <c r="A145" s="49">
        <f t="shared" si="2"/>
        <v>1986</v>
      </c>
      <c r="B145">
        <v>86</v>
      </c>
      <c r="C145" t="s">
        <v>70</v>
      </c>
      <c r="D145" t="s">
        <v>69</v>
      </c>
      <c r="E145" t="s">
        <v>64</v>
      </c>
      <c r="F145">
        <v>6112</v>
      </c>
    </row>
    <row r="146" spans="1:6" x14ac:dyDescent="0.2">
      <c r="A146" s="49">
        <f t="shared" si="2"/>
        <v>1986</v>
      </c>
      <c r="B146">
        <v>86</v>
      </c>
      <c r="C146" t="s">
        <v>71</v>
      </c>
      <c r="D146" t="s">
        <v>69</v>
      </c>
      <c r="E146" t="s">
        <v>72</v>
      </c>
      <c r="F146">
        <v>188</v>
      </c>
    </row>
    <row r="147" spans="1:6" x14ac:dyDescent="0.2">
      <c r="A147" s="49">
        <f t="shared" si="2"/>
        <v>1986</v>
      </c>
      <c r="B147">
        <v>86</v>
      </c>
      <c r="C147" t="s">
        <v>73</v>
      </c>
      <c r="D147" t="s">
        <v>69</v>
      </c>
      <c r="E147" t="s">
        <v>74</v>
      </c>
      <c r="F147">
        <v>36</v>
      </c>
    </row>
    <row r="148" spans="1:6" x14ac:dyDescent="0.2">
      <c r="A148" s="49">
        <f t="shared" si="2"/>
        <v>1986</v>
      </c>
      <c r="B148">
        <v>86</v>
      </c>
      <c r="C148" t="s">
        <v>75</v>
      </c>
      <c r="D148" t="s">
        <v>76</v>
      </c>
      <c r="E148" t="s">
        <v>77</v>
      </c>
      <c r="F148">
        <v>780</v>
      </c>
    </row>
    <row r="149" spans="1:6" x14ac:dyDescent="0.2">
      <c r="A149" s="49">
        <f t="shared" si="2"/>
        <v>1986</v>
      </c>
      <c r="B149">
        <v>86</v>
      </c>
      <c r="C149" t="s">
        <v>78</v>
      </c>
      <c r="D149" t="s">
        <v>76</v>
      </c>
      <c r="E149" t="s">
        <v>79</v>
      </c>
      <c r="F149">
        <v>123</v>
      </c>
    </row>
    <row r="150" spans="1:6" x14ac:dyDescent="0.2">
      <c r="A150" s="49">
        <f t="shared" si="2"/>
        <v>1986</v>
      </c>
      <c r="B150">
        <v>86</v>
      </c>
      <c r="C150" t="s">
        <v>80</v>
      </c>
      <c r="D150" t="s">
        <v>76</v>
      </c>
      <c r="E150" t="s">
        <v>81</v>
      </c>
      <c r="F150">
        <v>18</v>
      </c>
    </row>
    <row r="151" spans="1:6" x14ac:dyDescent="0.2">
      <c r="A151" s="49">
        <f t="shared" si="2"/>
        <v>1987</v>
      </c>
      <c r="B151">
        <v>87</v>
      </c>
      <c r="C151" t="s">
        <v>60</v>
      </c>
      <c r="D151" t="s">
        <v>61</v>
      </c>
      <c r="E151" t="s">
        <v>62</v>
      </c>
      <c r="F151">
        <v>7409</v>
      </c>
    </row>
    <row r="152" spans="1:6" x14ac:dyDescent="0.2">
      <c r="A152" s="49">
        <f t="shared" si="2"/>
        <v>1987</v>
      </c>
      <c r="B152">
        <v>87</v>
      </c>
      <c r="C152" t="s">
        <v>63</v>
      </c>
      <c r="D152" t="s">
        <v>61</v>
      </c>
      <c r="E152" t="s">
        <v>64</v>
      </c>
      <c r="F152">
        <v>1848</v>
      </c>
    </row>
    <row r="153" spans="1:6" x14ac:dyDescent="0.2">
      <c r="A153" s="49">
        <f t="shared" si="2"/>
        <v>1987</v>
      </c>
      <c r="B153">
        <v>87</v>
      </c>
      <c r="C153" t="s">
        <v>65</v>
      </c>
      <c r="D153" t="s">
        <v>66</v>
      </c>
      <c r="E153" t="s">
        <v>62</v>
      </c>
      <c r="F153">
        <v>2551</v>
      </c>
    </row>
    <row r="154" spans="1:6" x14ac:dyDescent="0.2">
      <c r="A154" s="49">
        <f t="shared" si="2"/>
        <v>1987</v>
      </c>
      <c r="B154">
        <v>87</v>
      </c>
      <c r="C154" t="s">
        <v>67</v>
      </c>
      <c r="D154" t="s">
        <v>66</v>
      </c>
      <c r="E154" t="s">
        <v>64</v>
      </c>
      <c r="F154">
        <v>670</v>
      </c>
    </row>
    <row r="155" spans="1:6" x14ac:dyDescent="0.2">
      <c r="A155" s="49">
        <f t="shared" si="2"/>
        <v>1987</v>
      </c>
      <c r="B155">
        <v>87</v>
      </c>
      <c r="C155" t="s">
        <v>68</v>
      </c>
      <c r="D155" t="s">
        <v>69</v>
      </c>
      <c r="E155" t="s">
        <v>62</v>
      </c>
      <c r="F155">
        <v>799</v>
      </c>
    </row>
    <row r="156" spans="1:6" x14ac:dyDescent="0.2">
      <c r="A156" s="49">
        <f t="shared" si="2"/>
        <v>1987</v>
      </c>
      <c r="B156">
        <v>87</v>
      </c>
      <c r="C156" t="s">
        <v>70</v>
      </c>
      <c r="D156" t="s">
        <v>69</v>
      </c>
      <c r="E156" t="s">
        <v>64</v>
      </c>
      <c r="F156">
        <v>4927</v>
      </c>
    </row>
    <row r="157" spans="1:6" x14ac:dyDescent="0.2">
      <c r="A157" s="49">
        <f t="shared" si="2"/>
        <v>1987</v>
      </c>
      <c r="B157">
        <v>87</v>
      </c>
      <c r="C157" t="s">
        <v>71</v>
      </c>
      <c r="D157" t="s">
        <v>69</v>
      </c>
      <c r="E157" t="s">
        <v>72</v>
      </c>
      <c r="F157">
        <v>1992</v>
      </c>
    </row>
    <row r="158" spans="1:6" x14ac:dyDescent="0.2">
      <c r="A158" s="49">
        <f t="shared" si="2"/>
        <v>1987</v>
      </c>
      <c r="B158">
        <v>87</v>
      </c>
      <c r="C158" t="s">
        <v>73</v>
      </c>
      <c r="D158" t="s">
        <v>69</v>
      </c>
      <c r="E158" t="s">
        <v>74</v>
      </c>
      <c r="F158">
        <v>113</v>
      </c>
    </row>
    <row r="159" spans="1:6" x14ac:dyDescent="0.2">
      <c r="A159" s="49">
        <f t="shared" si="2"/>
        <v>1987</v>
      </c>
      <c r="B159">
        <v>87</v>
      </c>
      <c r="C159" t="s">
        <v>75</v>
      </c>
      <c r="D159" t="s">
        <v>76</v>
      </c>
      <c r="E159" t="s">
        <v>77</v>
      </c>
      <c r="F159">
        <v>934</v>
      </c>
    </row>
    <row r="160" spans="1:6" x14ac:dyDescent="0.2">
      <c r="A160" s="49">
        <f t="shared" si="2"/>
        <v>1987</v>
      </c>
      <c r="B160">
        <v>87</v>
      </c>
      <c r="C160" t="s">
        <v>78</v>
      </c>
      <c r="D160" t="s">
        <v>76</v>
      </c>
      <c r="E160" t="s">
        <v>79</v>
      </c>
      <c r="F160">
        <v>297</v>
      </c>
    </row>
    <row r="161" spans="1:6" x14ac:dyDescent="0.2">
      <c r="A161" s="49">
        <f t="shared" si="2"/>
        <v>1987</v>
      </c>
      <c r="B161">
        <v>87</v>
      </c>
      <c r="C161" t="s">
        <v>80</v>
      </c>
      <c r="D161" t="s">
        <v>76</v>
      </c>
      <c r="E161" t="s">
        <v>81</v>
      </c>
      <c r="F161">
        <v>146</v>
      </c>
    </row>
    <row r="162" spans="1:6" x14ac:dyDescent="0.2">
      <c r="A162" s="49">
        <f t="shared" si="2"/>
        <v>1988</v>
      </c>
      <c r="B162">
        <v>88</v>
      </c>
      <c r="C162" t="s">
        <v>60</v>
      </c>
      <c r="D162" t="s">
        <v>61</v>
      </c>
      <c r="E162" t="s">
        <v>62</v>
      </c>
      <c r="F162">
        <v>7538</v>
      </c>
    </row>
    <row r="163" spans="1:6" x14ac:dyDescent="0.2">
      <c r="A163" s="49">
        <f t="shared" si="2"/>
        <v>1988</v>
      </c>
      <c r="B163">
        <v>88</v>
      </c>
      <c r="C163" t="s">
        <v>63</v>
      </c>
      <c r="D163" t="s">
        <v>61</v>
      </c>
      <c r="E163" t="s">
        <v>64</v>
      </c>
      <c r="F163">
        <v>8832</v>
      </c>
    </row>
    <row r="164" spans="1:6" x14ac:dyDescent="0.2">
      <c r="A164" s="49">
        <f t="shared" si="2"/>
        <v>1988</v>
      </c>
      <c r="B164">
        <v>88</v>
      </c>
      <c r="C164" t="s">
        <v>65</v>
      </c>
      <c r="D164" t="s">
        <v>66</v>
      </c>
      <c r="E164" t="s">
        <v>62</v>
      </c>
      <c r="F164">
        <v>6812</v>
      </c>
    </row>
    <row r="165" spans="1:6" x14ac:dyDescent="0.2">
      <c r="A165" s="49">
        <f t="shared" si="2"/>
        <v>1988</v>
      </c>
      <c r="B165">
        <v>88</v>
      </c>
      <c r="C165" t="s">
        <v>67</v>
      </c>
      <c r="D165" t="s">
        <v>66</v>
      </c>
      <c r="E165" t="s">
        <v>64</v>
      </c>
      <c r="F165">
        <v>5248</v>
      </c>
    </row>
    <row r="166" spans="1:6" x14ac:dyDescent="0.2">
      <c r="A166" s="49">
        <f t="shared" si="2"/>
        <v>1988</v>
      </c>
      <c r="B166">
        <v>88</v>
      </c>
      <c r="C166" t="s">
        <v>68</v>
      </c>
      <c r="D166" t="s">
        <v>69</v>
      </c>
      <c r="E166" t="s">
        <v>62</v>
      </c>
      <c r="F166">
        <v>5533</v>
      </c>
    </row>
    <row r="167" spans="1:6" x14ac:dyDescent="0.2">
      <c r="A167" s="49">
        <f t="shared" si="2"/>
        <v>1988</v>
      </c>
      <c r="B167">
        <v>88</v>
      </c>
      <c r="C167" t="s">
        <v>70</v>
      </c>
      <c r="D167" t="s">
        <v>69</v>
      </c>
      <c r="E167" t="s">
        <v>64</v>
      </c>
      <c r="F167">
        <v>3808</v>
      </c>
    </row>
    <row r="168" spans="1:6" x14ac:dyDescent="0.2">
      <c r="A168" s="49">
        <f t="shared" si="2"/>
        <v>1988</v>
      </c>
      <c r="B168">
        <v>88</v>
      </c>
      <c r="C168" t="s">
        <v>71</v>
      </c>
      <c r="D168" t="s">
        <v>69</v>
      </c>
      <c r="E168" t="s">
        <v>72</v>
      </c>
      <c r="F168">
        <v>1960</v>
      </c>
    </row>
    <row r="169" spans="1:6" x14ac:dyDescent="0.2">
      <c r="A169" s="49">
        <f t="shared" si="2"/>
        <v>1988</v>
      </c>
      <c r="B169">
        <v>88</v>
      </c>
      <c r="C169" t="s">
        <v>73</v>
      </c>
      <c r="D169" t="s">
        <v>69</v>
      </c>
      <c r="E169" t="s">
        <v>74</v>
      </c>
      <c r="F169">
        <v>206</v>
      </c>
    </row>
    <row r="170" spans="1:6" x14ac:dyDescent="0.2">
      <c r="A170" s="49">
        <f t="shared" si="2"/>
        <v>1988</v>
      </c>
      <c r="B170">
        <v>88</v>
      </c>
      <c r="C170" t="s">
        <v>75</v>
      </c>
      <c r="D170" t="s">
        <v>76</v>
      </c>
      <c r="E170" t="s">
        <v>77</v>
      </c>
      <c r="F170">
        <v>1679</v>
      </c>
    </row>
    <row r="171" spans="1:6" x14ac:dyDescent="0.2">
      <c r="A171" s="49">
        <f t="shared" si="2"/>
        <v>1988</v>
      </c>
      <c r="B171">
        <v>88</v>
      </c>
      <c r="C171" t="s">
        <v>78</v>
      </c>
      <c r="D171" t="s">
        <v>76</v>
      </c>
      <c r="E171" t="s">
        <v>79</v>
      </c>
      <c r="F171">
        <v>162</v>
      </c>
    </row>
    <row r="172" spans="1:6" x14ac:dyDescent="0.2">
      <c r="A172" s="49">
        <f t="shared" si="2"/>
        <v>1988</v>
      </c>
      <c r="B172">
        <v>88</v>
      </c>
      <c r="C172" t="s">
        <v>80</v>
      </c>
      <c r="D172" t="s">
        <v>76</v>
      </c>
      <c r="E172" t="s">
        <v>81</v>
      </c>
      <c r="F172">
        <v>112</v>
      </c>
    </row>
    <row r="173" spans="1:6" x14ac:dyDescent="0.2">
      <c r="A173" s="49">
        <f t="shared" si="2"/>
        <v>1989</v>
      </c>
      <c r="B173">
        <v>89</v>
      </c>
      <c r="C173" t="s">
        <v>60</v>
      </c>
      <c r="D173" t="s">
        <v>61</v>
      </c>
      <c r="E173" t="s">
        <v>62</v>
      </c>
      <c r="F173">
        <v>11477</v>
      </c>
    </row>
    <row r="174" spans="1:6" x14ac:dyDescent="0.2">
      <c r="A174" s="49">
        <f t="shared" si="2"/>
        <v>1989</v>
      </c>
      <c r="B174">
        <v>89</v>
      </c>
      <c r="C174" t="s">
        <v>63</v>
      </c>
      <c r="D174" t="s">
        <v>61</v>
      </c>
      <c r="E174" t="s">
        <v>64</v>
      </c>
      <c r="F174">
        <v>5725</v>
      </c>
    </row>
    <row r="175" spans="1:6" x14ac:dyDescent="0.2">
      <c r="A175" s="49">
        <f t="shared" si="2"/>
        <v>1989</v>
      </c>
      <c r="B175">
        <v>89</v>
      </c>
      <c r="C175" t="s">
        <v>65</v>
      </c>
      <c r="D175" t="s">
        <v>66</v>
      </c>
      <c r="E175" t="s">
        <v>62</v>
      </c>
      <c r="F175">
        <v>5879</v>
      </c>
    </row>
    <row r="176" spans="1:6" x14ac:dyDescent="0.2">
      <c r="A176" s="49">
        <f t="shared" si="2"/>
        <v>1989</v>
      </c>
      <c r="B176">
        <v>89</v>
      </c>
      <c r="C176" t="s">
        <v>67</v>
      </c>
      <c r="D176" t="s">
        <v>66</v>
      </c>
      <c r="E176" t="s">
        <v>64</v>
      </c>
      <c r="F176">
        <v>692</v>
      </c>
    </row>
    <row r="177" spans="1:6" x14ac:dyDescent="0.2">
      <c r="A177" s="49">
        <f t="shared" si="2"/>
        <v>1989</v>
      </c>
      <c r="B177">
        <v>89</v>
      </c>
      <c r="C177" t="s">
        <v>68</v>
      </c>
      <c r="D177" t="s">
        <v>69</v>
      </c>
      <c r="E177" t="s">
        <v>62</v>
      </c>
      <c r="F177">
        <v>1442</v>
      </c>
    </row>
    <row r="178" spans="1:6" x14ac:dyDescent="0.2">
      <c r="A178" s="49">
        <f t="shared" si="2"/>
        <v>1989</v>
      </c>
      <c r="B178">
        <v>89</v>
      </c>
      <c r="C178" t="s">
        <v>70</v>
      </c>
      <c r="D178" t="s">
        <v>69</v>
      </c>
      <c r="E178" t="s">
        <v>64</v>
      </c>
      <c r="F178">
        <v>5010</v>
      </c>
    </row>
    <row r="179" spans="1:6" x14ac:dyDescent="0.2">
      <c r="A179" s="49">
        <f t="shared" si="2"/>
        <v>1989</v>
      </c>
      <c r="B179">
        <v>89</v>
      </c>
      <c r="C179" t="s">
        <v>71</v>
      </c>
      <c r="D179" t="s">
        <v>69</v>
      </c>
      <c r="E179" t="s">
        <v>72</v>
      </c>
      <c r="F179">
        <v>2364</v>
      </c>
    </row>
    <row r="180" spans="1:6" x14ac:dyDescent="0.2">
      <c r="A180" s="49">
        <f t="shared" si="2"/>
        <v>1989</v>
      </c>
      <c r="B180">
        <v>89</v>
      </c>
      <c r="C180" t="s">
        <v>73</v>
      </c>
      <c r="D180" t="s">
        <v>69</v>
      </c>
      <c r="E180" t="s">
        <v>74</v>
      </c>
      <c r="F180">
        <v>2</v>
      </c>
    </row>
    <row r="181" spans="1:6" x14ac:dyDescent="0.2">
      <c r="A181" s="49">
        <f t="shared" si="2"/>
        <v>1989</v>
      </c>
      <c r="B181">
        <v>89</v>
      </c>
      <c r="C181" t="s">
        <v>75</v>
      </c>
      <c r="D181" t="s">
        <v>76</v>
      </c>
      <c r="E181" t="s">
        <v>77</v>
      </c>
      <c r="F181">
        <v>1514</v>
      </c>
    </row>
    <row r="182" spans="1:6" x14ac:dyDescent="0.2">
      <c r="A182" s="49">
        <f t="shared" si="2"/>
        <v>1989</v>
      </c>
      <c r="B182">
        <v>89</v>
      </c>
      <c r="C182" t="s">
        <v>78</v>
      </c>
      <c r="D182" t="s">
        <v>76</v>
      </c>
      <c r="E182" t="s">
        <v>79</v>
      </c>
      <c r="F182">
        <v>2120</v>
      </c>
    </row>
    <row r="183" spans="1:6" x14ac:dyDescent="0.2">
      <c r="A183" s="49">
        <f t="shared" si="2"/>
        <v>1989</v>
      </c>
      <c r="B183">
        <v>89</v>
      </c>
      <c r="C183" t="s">
        <v>80</v>
      </c>
      <c r="D183" t="s">
        <v>76</v>
      </c>
      <c r="E183" t="s">
        <v>81</v>
      </c>
      <c r="F183">
        <v>512</v>
      </c>
    </row>
    <row r="184" spans="1:6" x14ac:dyDescent="0.2">
      <c r="A184" s="49">
        <f t="shared" si="2"/>
        <v>1990</v>
      </c>
      <c r="B184">
        <v>90</v>
      </c>
      <c r="C184" t="s">
        <v>63</v>
      </c>
      <c r="D184" t="s">
        <v>61</v>
      </c>
      <c r="E184" t="s">
        <v>64</v>
      </c>
      <c r="F184">
        <v>10144</v>
      </c>
    </row>
    <row r="185" spans="1:6" x14ac:dyDescent="0.2">
      <c r="A185" s="49">
        <f t="shared" si="2"/>
        <v>1990</v>
      </c>
      <c r="B185">
        <v>90</v>
      </c>
      <c r="C185" t="s">
        <v>65</v>
      </c>
      <c r="D185" t="s">
        <v>66</v>
      </c>
      <c r="E185" t="s">
        <v>62</v>
      </c>
      <c r="F185">
        <v>4590</v>
      </c>
    </row>
    <row r="186" spans="1:6" x14ac:dyDescent="0.2">
      <c r="A186" s="49">
        <f t="shared" si="2"/>
        <v>1990</v>
      </c>
      <c r="B186">
        <v>90</v>
      </c>
      <c r="C186" t="s">
        <v>67</v>
      </c>
      <c r="D186" t="s">
        <v>66</v>
      </c>
      <c r="E186" t="s">
        <v>64</v>
      </c>
      <c r="F186">
        <v>2045</v>
      </c>
    </row>
    <row r="187" spans="1:6" x14ac:dyDescent="0.2">
      <c r="A187" s="49">
        <f t="shared" si="2"/>
        <v>1990</v>
      </c>
      <c r="B187">
        <v>90</v>
      </c>
      <c r="C187" t="s">
        <v>68</v>
      </c>
      <c r="D187" t="s">
        <v>69</v>
      </c>
      <c r="E187" t="s">
        <v>62</v>
      </c>
      <c r="F187">
        <v>19965</v>
      </c>
    </row>
    <row r="188" spans="1:6" x14ac:dyDescent="0.2">
      <c r="A188" s="49">
        <f t="shared" si="2"/>
        <v>1990</v>
      </c>
      <c r="B188">
        <v>90</v>
      </c>
      <c r="C188" t="s">
        <v>70</v>
      </c>
      <c r="D188" t="s">
        <v>69</v>
      </c>
      <c r="E188" t="s">
        <v>64</v>
      </c>
      <c r="F188">
        <v>1239</v>
      </c>
    </row>
    <row r="189" spans="1:6" x14ac:dyDescent="0.2">
      <c r="A189" s="49">
        <f t="shared" si="2"/>
        <v>1990</v>
      </c>
      <c r="B189">
        <v>90</v>
      </c>
      <c r="C189" t="s">
        <v>71</v>
      </c>
      <c r="D189" t="s">
        <v>69</v>
      </c>
      <c r="E189" t="s">
        <v>72</v>
      </c>
      <c r="F189">
        <v>975</v>
      </c>
    </row>
    <row r="190" spans="1:6" x14ac:dyDescent="0.2">
      <c r="A190" s="49">
        <f t="shared" si="2"/>
        <v>1990</v>
      </c>
      <c r="B190">
        <v>90</v>
      </c>
      <c r="C190" t="s">
        <v>75</v>
      </c>
      <c r="D190" t="s">
        <v>76</v>
      </c>
      <c r="E190" t="s">
        <v>77</v>
      </c>
      <c r="F190">
        <v>2552</v>
      </c>
    </row>
    <row r="191" spans="1:6" x14ac:dyDescent="0.2">
      <c r="A191" s="49">
        <f t="shared" si="2"/>
        <v>1990</v>
      </c>
      <c r="B191">
        <v>90</v>
      </c>
      <c r="C191" t="s">
        <v>78</v>
      </c>
      <c r="D191" t="s">
        <v>76</v>
      </c>
      <c r="E191" t="s">
        <v>79</v>
      </c>
      <c r="F191">
        <v>1204</v>
      </c>
    </row>
    <row r="192" spans="1:6" x14ac:dyDescent="0.2">
      <c r="A192" s="49">
        <f t="shared" si="2"/>
        <v>1991</v>
      </c>
      <c r="B192">
        <v>91</v>
      </c>
      <c r="C192" t="s">
        <v>60</v>
      </c>
      <c r="D192" t="s">
        <v>61</v>
      </c>
      <c r="E192" t="s">
        <v>62</v>
      </c>
      <c r="F192">
        <v>1021</v>
      </c>
    </row>
    <row r="193" spans="1:6" x14ac:dyDescent="0.2">
      <c r="A193" s="49">
        <f t="shared" si="2"/>
        <v>1991</v>
      </c>
      <c r="B193">
        <v>91</v>
      </c>
      <c r="C193" t="s">
        <v>63</v>
      </c>
      <c r="D193" t="s">
        <v>61</v>
      </c>
      <c r="E193" t="s">
        <v>64</v>
      </c>
      <c r="F193">
        <v>2397</v>
      </c>
    </row>
    <row r="194" spans="1:6" x14ac:dyDescent="0.2">
      <c r="A194" s="49">
        <f t="shared" si="2"/>
        <v>1991</v>
      </c>
      <c r="B194">
        <v>91</v>
      </c>
      <c r="C194" t="s">
        <v>67</v>
      </c>
      <c r="D194" t="s">
        <v>66</v>
      </c>
      <c r="E194" t="s">
        <v>64</v>
      </c>
      <c r="F194">
        <v>2032</v>
      </c>
    </row>
    <row r="195" spans="1:6" x14ac:dyDescent="0.2">
      <c r="A195" s="49">
        <f t="shared" ref="A195:A258" si="3">1900+B195</f>
        <v>1991</v>
      </c>
      <c r="B195">
        <v>91</v>
      </c>
      <c r="C195" t="s">
        <v>68</v>
      </c>
      <c r="D195" t="s">
        <v>69</v>
      </c>
      <c r="E195" t="s">
        <v>62</v>
      </c>
      <c r="F195">
        <v>4823</v>
      </c>
    </row>
    <row r="196" spans="1:6" x14ac:dyDescent="0.2">
      <c r="A196" s="49">
        <f t="shared" si="3"/>
        <v>1991</v>
      </c>
      <c r="B196">
        <v>91</v>
      </c>
      <c r="C196" t="s">
        <v>70</v>
      </c>
      <c r="D196" t="s">
        <v>69</v>
      </c>
      <c r="E196" t="s">
        <v>64</v>
      </c>
      <c r="F196">
        <v>2110</v>
      </c>
    </row>
    <row r="197" spans="1:6" x14ac:dyDescent="0.2">
      <c r="A197" s="49">
        <f t="shared" si="3"/>
        <v>1991</v>
      </c>
      <c r="B197">
        <v>91</v>
      </c>
      <c r="C197" t="s">
        <v>71</v>
      </c>
      <c r="D197" t="s">
        <v>69</v>
      </c>
      <c r="E197" t="s">
        <v>72</v>
      </c>
      <c r="F197">
        <v>1249</v>
      </c>
    </row>
    <row r="198" spans="1:6" x14ac:dyDescent="0.2">
      <c r="A198" s="49">
        <f t="shared" si="3"/>
        <v>1991</v>
      </c>
      <c r="B198">
        <v>91</v>
      </c>
      <c r="C198" t="s">
        <v>75</v>
      </c>
      <c r="D198" t="s">
        <v>76</v>
      </c>
      <c r="E198" t="s">
        <v>77</v>
      </c>
      <c r="F198">
        <v>4400</v>
      </c>
    </row>
    <row r="199" spans="1:6" x14ac:dyDescent="0.2">
      <c r="A199" s="49">
        <f t="shared" si="3"/>
        <v>1991</v>
      </c>
      <c r="B199">
        <v>91</v>
      </c>
      <c r="C199" t="s">
        <v>78</v>
      </c>
      <c r="D199" t="s">
        <v>76</v>
      </c>
      <c r="E199" t="s">
        <v>79</v>
      </c>
      <c r="F199">
        <v>873</v>
      </c>
    </row>
    <row r="200" spans="1:6" x14ac:dyDescent="0.2">
      <c r="A200" s="49">
        <f t="shared" si="3"/>
        <v>1992</v>
      </c>
      <c r="B200">
        <v>92</v>
      </c>
      <c r="C200" t="s">
        <v>60</v>
      </c>
      <c r="D200" t="s">
        <v>61</v>
      </c>
      <c r="E200" t="s">
        <v>62</v>
      </c>
      <c r="F200">
        <v>189</v>
      </c>
    </row>
    <row r="201" spans="1:6" x14ac:dyDescent="0.2">
      <c r="A201" s="49">
        <f t="shared" si="3"/>
        <v>1992</v>
      </c>
      <c r="B201">
        <v>92</v>
      </c>
      <c r="C201" t="s">
        <v>63</v>
      </c>
      <c r="D201" t="s">
        <v>61</v>
      </c>
      <c r="E201" t="s">
        <v>64</v>
      </c>
      <c r="F201">
        <v>4917</v>
      </c>
    </row>
    <row r="202" spans="1:6" x14ac:dyDescent="0.2">
      <c r="A202" s="49">
        <f t="shared" si="3"/>
        <v>1992</v>
      </c>
      <c r="B202">
        <v>92</v>
      </c>
      <c r="C202" t="s">
        <v>67</v>
      </c>
      <c r="D202" t="s">
        <v>66</v>
      </c>
      <c r="E202" t="s">
        <v>64</v>
      </c>
      <c r="F202">
        <v>822</v>
      </c>
    </row>
    <row r="203" spans="1:6" x14ac:dyDescent="0.2">
      <c r="A203" s="49">
        <f t="shared" si="3"/>
        <v>1992</v>
      </c>
      <c r="B203">
        <v>92</v>
      </c>
      <c r="C203" t="s">
        <v>68</v>
      </c>
      <c r="D203" t="s">
        <v>69</v>
      </c>
      <c r="E203" t="s">
        <v>62</v>
      </c>
      <c r="F203">
        <v>10</v>
      </c>
    </row>
    <row r="204" spans="1:6" x14ac:dyDescent="0.2">
      <c r="A204" s="49">
        <f t="shared" si="3"/>
        <v>1992</v>
      </c>
      <c r="B204">
        <v>92</v>
      </c>
      <c r="C204" t="s">
        <v>70</v>
      </c>
      <c r="D204" t="s">
        <v>69</v>
      </c>
      <c r="E204" t="s">
        <v>64</v>
      </c>
      <c r="F204">
        <v>165</v>
      </c>
    </row>
    <row r="205" spans="1:6" x14ac:dyDescent="0.2">
      <c r="A205" s="49">
        <f t="shared" si="3"/>
        <v>1992</v>
      </c>
      <c r="B205">
        <v>92</v>
      </c>
      <c r="C205" t="s">
        <v>71</v>
      </c>
      <c r="D205" t="s">
        <v>69</v>
      </c>
      <c r="E205" t="s">
        <v>72</v>
      </c>
      <c r="F205">
        <v>163</v>
      </c>
    </row>
    <row r="206" spans="1:6" x14ac:dyDescent="0.2">
      <c r="A206" s="49">
        <f t="shared" si="3"/>
        <v>1992</v>
      </c>
      <c r="B206">
        <v>92</v>
      </c>
      <c r="C206" t="s">
        <v>75</v>
      </c>
      <c r="D206" t="s">
        <v>76</v>
      </c>
      <c r="E206" t="s">
        <v>77</v>
      </c>
      <c r="F206">
        <v>176</v>
      </c>
    </row>
    <row r="207" spans="1:6" x14ac:dyDescent="0.2">
      <c r="A207" s="49">
        <f t="shared" si="3"/>
        <v>1992</v>
      </c>
      <c r="B207">
        <v>92</v>
      </c>
      <c r="C207" t="s">
        <v>78</v>
      </c>
      <c r="D207" t="s">
        <v>76</v>
      </c>
      <c r="E207" t="s">
        <v>79</v>
      </c>
      <c r="F207">
        <v>1616</v>
      </c>
    </row>
    <row r="208" spans="1:6" x14ac:dyDescent="0.2">
      <c r="A208" s="49">
        <f t="shared" si="3"/>
        <v>1993</v>
      </c>
      <c r="B208">
        <v>93</v>
      </c>
      <c r="C208" t="s">
        <v>63</v>
      </c>
      <c r="D208" t="s">
        <v>61</v>
      </c>
      <c r="E208" t="s">
        <v>64</v>
      </c>
      <c r="F208">
        <v>66</v>
      </c>
    </row>
    <row r="209" spans="1:6" x14ac:dyDescent="0.2">
      <c r="A209" s="49">
        <f t="shared" si="3"/>
        <v>1993</v>
      </c>
      <c r="B209">
        <v>93</v>
      </c>
      <c r="C209" t="s">
        <v>67</v>
      </c>
      <c r="D209" t="s">
        <v>66</v>
      </c>
      <c r="E209" t="s">
        <v>64</v>
      </c>
      <c r="F209">
        <v>174</v>
      </c>
    </row>
    <row r="210" spans="1:6" x14ac:dyDescent="0.2">
      <c r="A210" s="49">
        <f t="shared" si="3"/>
        <v>1993</v>
      </c>
      <c r="B210">
        <v>93</v>
      </c>
      <c r="C210" t="s">
        <v>70</v>
      </c>
      <c r="D210" t="s">
        <v>69</v>
      </c>
      <c r="E210" t="s">
        <v>64</v>
      </c>
      <c r="F210">
        <v>685</v>
      </c>
    </row>
    <row r="211" spans="1:6" x14ac:dyDescent="0.2">
      <c r="A211" s="49">
        <f t="shared" si="3"/>
        <v>1993</v>
      </c>
      <c r="B211">
        <v>93</v>
      </c>
      <c r="C211" t="s">
        <v>71</v>
      </c>
      <c r="D211" t="s">
        <v>69</v>
      </c>
      <c r="E211" t="s">
        <v>72</v>
      </c>
      <c r="F211">
        <v>85</v>
      </c>
    </row>
    <row r="212" spans="1:6" x14ac:dyDescent="0.2">
      <c r="A212" s="49">
        <f t="shared" si="3"/>
        <v>1993</v>
      </c>
      <c r="B212">
        <v>93</v>
      </c>
      <c r="C212" t="s">
        <v>75</v>
      </c>
      <c r="D212" t="s">
        <v>76</v>
      </c>
      <c r="E212" t="s">
        <v>77</v>
      </c>
      <c r="F212">
        <v>1358</v>
      </c>
    </row>
    <row r="213" spans="1:6" x14ac:dyDescent="0.2">
      <c r="A213" s="49">
        <f t="shared" si="3"/>
        <v>1993</v>
      </c>
      <c r="B213">
        <v>93</v>
      </c>
      <c r="C213" t="s">
        <v>78</v>
      </c>
      <c r="D213" t="s">
        <v>76</v>
      </c>
      <c r="E213" t="s">
        <v>79</v>
      </c>
      <c r="F213">
        <v>1103</v>
      </c>
    </row>
    <row r="214" spans="1:6" x14ac:dyDescent="0.2">
      <c r="A214" s="49">
        <f t="shared" si="3"/>
        <v>1994</v>
      </c>
      <c r="B214">
        <v>94</v>
      </c>
      <c r="C214" t="s">
        <v>60</v>
      </c>
      <c r="D214" t="s">
        <v>61</v>
      </c>
      <c r="E214" t="s">
        <v>62</v>
      </c>
      <c r="F214">
        <v>26</v>
      </c>
    </row>
    <row r="215" spans="1:6" x14ac:dyDescent="0.2">
      <c r="A215" s="49">
        <f t="shared" si="3"/>
        <v>1994</v>
      </c>
      <c r="B215">
        <v>94</v>
      </c>
      <c r="C215" t="s">
        <v>63</v>
      </c>
      <c r="D215" t="s">
        <v>61</v>
      </c>
      <c r="E215" t="s">
        <v>64</v>
      </c>
      <c r="F215">
        <v>1179</v>
      </c>
    </row>
    <row r="216" spans="1:6" x14ac:dyDescent="0.2">
      <c r="A216" s="49">
        <f t="shared" si="3"/>
        <v>1994</v>
      </c>
      <c r="B216">
        <v>94</v>
      </c>
      <c r="C216" t="s">
        <v>70</v>
      </c>
      <c r="D216" t="s">
        <v>69</v>
      </c>
      <c r="E216" t="s">
        <v>64</v>
      </c>
      <c r="F216">
        <v>1464</v>
      </c>
    </row>
    <row r="217" spans="1:6" x14ac:dyDescent="0.2">
      <c r="A217" s="49">
        <f t="shared" si="3"/>
        <v>1994</v>
      </c>
      <c r="B217">
        <v>94</v>
      </c>
      <c r="C217" t="s">
        <v>71</v>
      </c>
      <c r="D217" t="s">
        <v>69</v>
      </c>
      <c r="E217" t="s">
        <v>72</v>
      </c>
      <c r="F217">
        <v>44</v>
      </c>
    </row>
    <row r="218" spans="1:6" x14ac:dyDescent="0.2">
      <c r="A218" s="49">
        <f t="shared" si="3"/>
        <v>1994</v>
      </c>
      <c r="B218">
        <v>94</v>
      </c>
      <c r="C218" t="s">
        <v>75</v>
      </c>
      <c r="D218" t="s">
        <v>76</v>
      </c>
      <c r="E218" t="s">
        <v>77</v>
      </c>
      <c r="F218">
        <v>537</v>
      </c>
    </row>
    <row r="219" spans="1:6" x14ac:dyDescent="0.2">
      <c r="A219" s="49">
        <f t="shared" si="3"/>
        <v>1994</v>
      </c>
      <c r="B219">
        <v>94</v>
      </c>
      <c r="C219" t="s">
        <v>78</v>
      </c>
      <c r="D219" t="s">
        <v>76</v>
      </c>
      <c r="E219" t="s">
        <v>79</v>
      </c>
      <c r="F219">
        <v>595</v>
      </c>
    </row>
    <row r="220" spans="1:6" x14ac:dyDescent="0.2">
      <c r="A220" s="49">
        <f t="shared" si="3"/>
        <v>1995</v>
      </c>
      <c r="B220">
        <v>95</v>
      </c>
      <c r="C220" t="s">
        <v>63</v>
      </c>
      <c r="D220" t="s">
        <v>61</v>
      </c>
      <c r="E220" t="s">
        <v>64</v>
      </c>
      <c r="F220">
        <v>8688</v>
      </c>
    </row>
    <row r="221" spans="1:6" x14ac:dyDescent="0.2">
      <c r="A221" s="49">
        <f t="shared" si="3"/>
        <v>1995</v>
      </c>
      <c r="B221">
        <v>95</v>
      </c>
      <c r="C221" t="s">
        <v>71</v>
      </c>
      <c r="D221" t="s">
        <v>69</v>
      </c>
      <c r="E221" t="s">
        <v>72</v>
      </c>
      <c r="F221">
        <v>43</v>
      </c>
    </row>
    <row r="222" spans="1:6" x14ac:dyDescent="0.2">
      <c r="A222" s="49">
        <f t="shared" si="3"/>
        <v>1995</v>
      </c>
      <c r="B222">
        <v>95</v>
      </c>
      <c r="C222" t="s">
        <v>75</v>
      </c>
      <c r="D222" t="s">
        <v>76</v>
      </c>
      <c r="E222" t="s">
        <v>77</v>
      </c>
      <c r="F222">
        <v>74</v>
      </c>
    </row>
    <row r="223" spans="1:6" x14ac:dyDescent="0.2">
      <c r="A223" s="49">
        <f t="shared" si="3"/>
        <v>1995</v>
      </c>
      <c r="B223">
        <v>95</v>
      </c>
      <c r="C223" t="s">
        <v>78</v>
      </c>
      <c r="D223" t="s">
        <v>76</v>
      </c>
      <c r="E223" t="s">
        <v>79</v>
      </c>
      <c r="F223">
        <v>230</v>
      </c>
    </row>
    <row r="224" spans="1:6" x14ac:dyDescent="0.2">
      <c r="A224" s="49">
        <f t="shared" si="3"/>
        <v>1995</v>
      </c>
      <c r="B224">
        <v>95</v>
      </c>
      <c r="C224" t="s">
        <v>80</v>
      </c>
      <c r="D224" t="s">
        <v>76</v>
      </c>
      <c r="E224" t="s">
        <v>81</v>
      </c>
      <c r="F224">
        <v>164</v>
      </c>
    </row>
    <row r="225" spans="1:6" x14ac:dyDescent="0.2">
      <c r="A225" s="49">
        <f t="shared" si="3"/>
        <v>1996</v>
      </c>
      <c r="B225">
        <v>96</v>
      </c>
      <c r="C225" t="s">
        <v>63</v>
      </c>
      <c r="D225" t="s">
        <v>61</v>
      </c>
      <c r="E225" t="s">
        <v>64</v>
      </c>
      <c r="F225">
        <v>809</v>
      </c>
    </row>
    <row r="226" spans="1:6" x14ac:dyDescent="0.2">
      <c r="A226" s="49">
        <f t="shared" si="3"/>
        <v>1996</v>
      </c>
      <c r="B226">
        <v>96</v>
      </c>
      <c r="C226" t="s">
        <v>67</v>
      </c>
      <c r="D226" t="s">
        <v>66</v>
      </c>
      <c r="E226" t="s">
        <v>64</v>
      </c>
      <c r="F226">
        <v>184</v>
      </c>
    </row>
    <row r="227" spans="1:6" x14ac:dyDescent="0.2">
      <c r="A227" s="49">
        <f t="shared" si="3"/>
        <v>1996</v>
      </c>
      <c r="B227">
        <v>96</v>
      </c>
      <c r="C227" t="s">
        <v>70</v>
      </c>
      <c r="D227" t="s">
        <v>69</v>
      </c>
      <c r="E227" t="s">
        <v>64</v>
      </c>
      <c r="F227">
        <v>564</v>
      </c>
    </row>
    <row r="228" spans="1:6" x14ac:dyDescent="0.2">
      <c r="A228" s="49">
        <f t="shared" si="3"/>
        <v>1996</v>
      </c>
      <c r="B228">
        <v>96</v>
      </c>
      <c r="C228" t="s">
        <v>75</v>
      </c>
      <c r="D228" t="s">
        <v>76</v>
      </c>
      <c r="E228" t="s">
        <v>77</v>
      </c>
      <c r="F228">
        <v>337</v>
      </c>
    </row>
    <row r="229" spans="1:6" x14ac:dyDescent="0.2">
      <c r="A229" s="49">
        <f t="shared" si="3"/>
        <v>1996</v>
      </c>
      <c r="B229">
        <v>96</v>
      </c>
      <c r="C229" t="s">
        <v>78</v>
      </c>
      <c r="D229" t="s">
        <v>76</v>
      </c>
      <c r="E229" t="s">
        <v>79</v>
      </c>
      <c r="F229">
        <v>675</v>
      </c>
    </row>
    <row r="230" spans="1:6" x14ac:dyDescent="0.2">
      <c r="A230" s="49">
        <f t="shared" si="3"/>
        <v>1996</v>
      </c>
      <c r="B230">
        <v>96</v>
      </c>
      <c r="C230" t="s">
        <v>80</v>
      </c>
      <c r="D230" t="s">
        <v>76</v>
      </c>
      <c r="E230" t="s">
        <v>81</v>
      </c>
      <c r="F230">
        <v>691</v>
      </c>
    </row>
    <row r="231" spans="1:6" x14ac:dyDescent="0.2">
      <c r="A231" s="49">
        <f t="shared" si="3"/>
        <v>1997</v>
      </c>
      <c r="B231">
        <v>97</v>
      </c>
      <c r="C231" t="s">
        <v>63</v>
      </c>
      <c r="D231" t="s">
        <v>61</v>
      </c>
      <c r="E231" t="s">
        <v>64</v>
      </c>
      <c r="F231">
        <v>3611</v>
      </c>
    </row>
    <row r="232" spans="1:6" x14ac:dyDescent="0.2">
      <c r="A232" s="49">
        <f t="shared" si="3"/>
        <v>1997</v>
      </c>
      <c r="B232">
        <v>97</v>
      </c>
      <c r="C232" t="s">
        <v>67</v>
      </c>
      <c r="D232" t="s">
        <v>66</v>
      </c>
      <c r="E232" t="s">
        <v>64</v>
      </c>
      <c r="F232">
        <v>23</v>
      </c>
    </row>
    <row r="233" spans="1:6" x14ac:dyDescent="0.2">
      <c r="A233" s="49">
        <f t="shared" si="3"/>
        <v>1997</v>
      </c>
      <c r="B233">
        <v>97</v>
      </c>
      <c r="C233" t="s">
        <v>75</v>
      </c>
      <c r="D233" t="s">
        <v>76</v>
      </c>
      <c r="E233" t="s">
        <v>77</v>
      </c>
      <c r="F233">
        <v>9374</v>
      </c>
    </row>
    <row r="234" spans="1:6" x14ac:dyDescent="0.2">
      <c r="A234" s="49">
        <f t="shared" si="3"/>
        <v>1997</v>
      </c>
      <c r="B234">
        <v>97</v>
      </c>
      <c r="C234" t="s">
        <v>78</v>
      </c>
      <c r="D234" t="s">
        <v>76</v>
      </c>
      <c r="E234" t="s">
        <v>79</v>
      </c>
      <c r="F234">
        <v>918</v>
      </c>
    </row>
    <row r="235" spans="1:6" x14ac:dyDescent="0.2">
      <c r="A235" s="49">
        <f t="shared" si="3"/>
        <v>1997</v>
      </c>
      <c r="B235">
        <v>97</v>
      </c>
      <c r="C235" t="s">
        <v>80</v>
      </c>
      <c r="D235" t="s">
        <v>76</v>
      </c>
      <c r="E235" t="s">
        <v>81</v>
      </c>
      <c r="F235">
        <v>355</v>
      </c>
    </row>
    <row r="236" spans="1:6" x14ac:dyDescent="0.2">
      <c r="A236" s="49">
        <f t="shared" si="3"/>
        <v>1998</v>
      </c>
      <c r="B236">
        <v>98</v>
      </c>
      <c r="C236" t="s">
        <v>63</v>
      </c>
      <c r="D236" t="s">
        <v>61</v>
      </c>
      <c r="E236" t="s">
        <v>64</v>
      </c>
      <c r="F236">
        <v>8528</v>
      </c>
    </row>
    <row r="237" spans="1:6" x14ac:dyDescent="0.2">
      <c r="A237" s="49">
        <f t="shared" si="3"/>
        <v>1998</v>
      </c>
      <c r="B237">
        <v>98</v>
      </c>
      <c r="C237" t="s">
        <v>67</v>
      </c>
      <c r="D237" t="s">
        <v>66</v>
      </c>
      <c r="E237" t="s">
        <v>64</v>
      </c>
      <c r="F237">
        <v>1490</v>
      </c>
    </row>
    <row r="238" spans="1:6" x14ac:dyDescent="0.2">
      <c r="A238" s="49">
        <f t="shared" si="3"/>
        <v>1998</v>
      </c>
      <c r="B238">
        <v>98</v>
      </c>
      <c r="C238" t="s">
        <v>68</v>
      </c>
      <c r="D238" t="s">
        <v>69</v>
      </c>
      <c r="E238" t="s">
        <v>62</v>
      </c>
      <c r="F238">
        <v>205</v>
      </c>
    </row>
    <row r="239" spans="1:6" x14ac:dyDescent="0.2">
      <c r="A239" s="49">
        <f t="shared" si="3"/>
        <v>1998</v>
      </c>
      <c r="B239">
        <v>98</v>
      </c>
      <c r="C239" t="s">
        <v>70</v>
      </c>
      <c r="D239" t="s">
        <v>69</v>
      </c>
      <c r="E239" t="s">
        <v>64</v>
      </c>
      <c r="F239">
        <v>66</v>
      </c>
    </row>
    <row r="240" spans="1:6" x14ac:dyDescent="0.2">
      <c r="A240" s="49">
        <f t="shared" si="3"/>
        <v>1998</v>
      </c>
      <c r="B240">
        <v>98</v>
      </c>
      <c r="C240" t="s">
        <v>75</v>
      </c>
      <c r="D240" t="s">
        <v>76</v>
      </c>
      <c r="E240" t="s">
        <v>77</v>
      </c>
      <c r="F240">
        <v>1522</v>
      </c>
    </row>
    <row r="241" spans="1:6" x14ac:dyDescent="0.2">
      <c r="A241" s="49">
        <f t="shared" si="3"/>
        <v>1998</v>
      </c>
      <c r="B241">
        <v>98</v>
      </c>
      <c r="C241" t="s">
        <v>78</v>
      </c>
      <c r="D241" t="s">
        <v>76</v>
      </c>
      <c r="E241" t="s">
        <v>79</v>
      </c>
      <c r="F241">
        <v>953</v>
      </c>
    </row>
    <row r="242" spans="1:6" x14ac:dyDescent="0.2">
      <c r="A242" s="49">
        <f t="shared" si="3"/>
        <v>1998</v>
      </c>
      <c r="B242">
        <v>98</v>
      </c>
      <c r="C242" t="s">
        <v>80</v>
      </c>
      <c r="D242" t="s">
        <v>76</v>
      </c>
      <c r="E242" t="s">
        <v>81</v>
      </c>
      <c r="F242">
        <v>170</v>
      </c>
    </row>
    <row r="243" spans="1:6" x14ac:dyDescent="0.2">
      <c r="A243" s="49">
        <f t="shared" si="3"/>
        <v>1999</v>
      </c>
      <c r="B243">
        <v>99</v>
      </c>
      <c r="C243" t="s">
        <v>63</v>
      </c>
      <c r="D243" t="s">
        <v>61</v>
      </c>
      <c r="E243" t="s">
        <v>64</v>
      </c>
      <c r="F243">
        <v>4064</v>
      </c>
    </row>
    <row r="244" spans="1:6" x14ac:dyDescent="0.2">
      <c r="A244" s="49">
        <f t="shared" si="3"/>
        <v>1999</v>
      </c>
      <c r="B244">
        <v>99</v>
      </c>
      <c r="C244" t="s">
        <v>67</v>
      </c>
      <c r="D244" t="s">
        <v>66</v>
      </c>
      <c r="E244" t="s">
        <v>64</v>
      </c>
      <c r="F244">
        <v>185</v>
      </c>
    </row>
    <row r="245" spans="1:6" x14ac:dyDescent="0.2">
      <c r="A245" s="49">
        <f t="shared" si="3"/>
        <v>1999</v>
      </c>
      <c r="B245">
        <v>99</v>
      </c>
      <c r="C245" t="s">
        <v>70</v>
      </c>
      <c r="D245" t="s">
        <v>69</v>
      </c>
      <c r="E245" t="s">
        <v>64</v>
      </c>
      <c r="F245">
        <v>134</v>
      </c>
    </row>
    <row r="246" spans="1:6" x14ac:dyDescent="0.2">
      <c r="A246" s="49">
        <f t="shared" si="3"/>
        <v>1999</v>
      </c>
      <c r="B246">
        <v>99</v>
      </c>
      <c r="C246" t="s">
        <v>71</v>
      </c>
      <c r="D246" t="s">
        <v>69</v>
      </c>
      <c r="E246" t="s">
        <v>72</v>
      </c>
      <c r="F246">
        <v>181</v>
      </c>
    </row>
    <row r="247" spans="1:6" x14ac:dyDescent="0.2">
      <c r="A247" s="49">
        <f t="shared" si="3"/>
        <v>1999</v>
      </c>
      <c r="B247">
        <v>99</v>
      </c>
      <c r="C247" t="s">
        <v>75</v>
      </c>
      <c r="D247" t="s">
        <v>76</v>
      </c>
      <c r="E247" t="s">
        <v>77</v>
      </c>
      <c r="F247">
        <v>804</v>
      </c>
    </row>
    <row r="248" spans="1:6" x14ac:dyDescent="0.2">
      <c r="A248" s="49">
        <f t="shared" si="3"/>
        <v>1999</v>
      </c>
      <c r="B248">
        <v>99</v>
      </c>
      <c r="C248" t="s">
        <v>78</v>
      </c>
      <c r="D248" t="s">
        <v>76</v>
      </c>
      <c r="E248" t="s">
        <v>79</v>
      </c>
      <c r="F248">
        <v>1260</v>
      </c>
    </row>
    <row r="249" spans="1:6" x14ac:dyDescent="0.2">
      <c r="A249" s="49">
        <f t="shared" si="3"/>
        <v>1999</v>
      </c>
      <c r="B249">
        <v>99</v>
      </c>
      <c r="C249" t="s">
        <v>80</v>
      </c>
      <c r="D249" t="s">
        <v>76</v>
      </c>
      <c r="E249" t="s">
        <v>81</v>
      </c>
      <c r="F249">
        <v>344</v>
      </c>
    </row>
    <row r="250" spans="1:6" x14ac:dyDescent="0.2">
      <c r="A250" s="49">
        <f t="shared" si="3"/>
        <v>2000</v>
      </c>
      <c r="B250">
        <v>100</v>
      </c>
      <c r="C250" t="s">
        <v>63</v>
      </c>
      <c r="D250" t="s">
        <v>61</v>
      </c>
      <c r="E250" t="s">
        <v>64</v>
      </c>
      <c r="F250">
        <v>3972</v>
      </c>
    </row>
    <row r="251" spans="1:6" x14ac:dyDescent="0.2">
      <c r="A251" s="49">
        <f t="shared" si="3"/>
        <v>2000</v>
      </c>
      <c r="B251">
        <v>100</v>
      </c>
      <c r="C251" t="s">
        <v>65</v>
      </c>
      <c r="D251" t="s">
        <v>66</v>
      </c>
      <c r="E251" t="s">
        <v>62</v>
      </c>
      <c r="F251">
        <v>28</v>
      </c>
    </row>
    <row r="252" spans="1:6" x14ac:dyDescent="0.2">
      <c r="A252" s="49">
        <f t="shared" si="3"/>
        <v>2000</v>
      </c>
      <c r="B252">
        <v>100</v>
      </c>
      <c r="C252" t="s">
        <v>67</v>
      </c>
      <c r="D252" t="s">
        <v>66</v>
      </c>
      <c r="E252" t="s">
        <v>64</v>
      </c>
      <c r="F252">
        <v>155</v>
      </c>
    </row>
    <row r="253" spans="1:6" x14ac:dyDescent="0.2">
      <c r="A253" s="49">
        <f t="shared" si="3"/>
        <v>2000</v>
      </c>
      <c r="B253">
        <v>100</v>
      </c>
      <c r="C253" t="s">
        <v>70</v>
      </c>
      <c r="D253" t="s">
        <v>69</v>
      </c>
      <c r="E253" t="s">
        <v>64</v>
      </c>
      <c r="F253">
        <v>376</v>
      </c>
    </row>
    <row r="254" spans="1:6" x14ac:dyDescent="0.2">
      <c r="A254" s="49">
        <f t="shared" si="3"/>
        <v>2000</v>
      </c>
      <c r="B254">
        <v>100</v>
      </c>
      <c r="C254" t="s">
        <v>75</v>
      </c>
      <c r="D254" t="s">
        <v>76</v>
      </c>
      <c r="E254" t="s">
        <v>77</v>
      </c>
      <c r="F254">
        <v>7346</v>
      </c>
    </row>
    <row r="255" spans="1:6" x14ac:dyDescent="0.2">
      <c r="A255" s="49">
        <f t="shared" si="3"/>
        <v>2000</v>
      </c>
      <c r="B255">
        <v>100</v>
      </c>
      <c r="C255" t="s">
        <v>78</v>
      </c>
      <c r="D255" t="s">
        <v>76</v>
      </c>
      <c r="E255" t="s">
        <v>79</v>
      </c>
      <c r="F255">
        <v>338</v>
      </c>
    </row>
    <row r="256" spans="1:6" x14ac:dyDescent="0.2">
      <c r="A256" s="49">
        <f t="shared" si="3"/>
        <v>2000</v>
      </c>
      <c r="B256">
        <v>100</v>
      </c>
      <c r="C256" t="s">
        <v>80</v>
      </c>
      <c r="D256" t="s">
        <v>76</v>
      </c>
      <c r="E256" t="s">
        <v>81</v>
      </c>
      <c r="F256">
        <v>106</v>
      </c>
    </row>
    <row r="257" spans="1:6" x14ac:dyDescent="0.2">
      <c r="A257" s="49">
        <f t="shared" si="3"/>
        <v>2001</v>
      </c>
      <c r="B257">
        <v>101</v>
      </c>
      <c r="C257" t="s">
        <v>63</v>
      </c>
      <c r="D257" t="s">
        <v>61</v>
      </c>
      <c r="E257" t="s">
        <v>64</v>
      </c>
      <c r="F257">
        <v>11918</v>
      </c>
    </row>
    <row r="258" spans="1:6" x14ac:dyDescent="0.2">
      <c r="A258" s="49">
        <f t="shared" si="3"/>
        <v>2001</v>
      </c>
      <c r="B258">
        <v>101</v>
      </c>
      <c r="C258" t="s">
        <v>67</v>
      </c>
      <c r="D258" t="s">
        <v>66</v>
      </c>
      <c r="E258" t="s">
        <v>64</v>
      </c>
      <c r="F258">
        <v>164</v>
      </c>
    </row>
    <row r="259" spans="1:6" x14ac:dyDescent="0.2">
      <c r="A259" s="49">
        <f t="shared" ref="A259:A322" si="4">1900+B259</f>
        <v>2001</v>
      </c>
      <c r="B259">
        <v>101</v>
      </c>
      <c r="C259" t="s">
        <v>70</v>
      </c>
      <c r="D259" t="s">
        <v>69</v>
      </c>
      <c r="E259" t="s">
        <v>64</v>
      </c>
      <c r="F259">
        <v>1604</v>
      </c>
    </row>
    <row r="260" spans="1:6" x14ac:dyDescent="0.2">
      <c r="A260" s="49">
        <f t="shared" si="4"/>
        <v>2001</v>
      </c>
      <c r="B260">
        <v>101</v>
      </c>
      <c r="C260" t="s">
        <v>75</v>
      </c>
      <c r="D260" t="s">
        <v>76</v>
      </c>
      <c r="E260" t="s">
        <v>77</v>
      </c>
      <c r="F260">
        <v>971</v>
      </c>
    </row>
    <row r="261" spans="1:6" x14ac:dyDescent="0.2">
      <c r="A261" s="49">
        <f t="shared" si="4"/>
        <v>2001</v>
      </c>
      <c r="B261">
        <v>101</v>
      </c>
      <c r="C261" t="s">
        <v>78</v>
      </c>
      <c r="D261" t="s">
        <v>76</v>
      </c>
      <c r="E261" t="s">
        <v>79</v>
      </c>
      <c r="F261">
        <v>5531</v>
      </c>
    </row>
    <row r="262" spans="1:6" x14ac:dyDescent="0.2">
      <c r="A262" s="49">
        <f t="shared" si="4"/>
        <v>2001</v>
      </c>
      <c r="B262">
        <v>101</v>
      </c>
      <c r="C262" t="s">
        <v>80</v>
      </c>
      <c r="D262" t="s">
        <v>76</v>
      </c>
      <c r="E262" t="s">
        <v>81</v>
      </c>
      <c r="F262">
        <v>909</v>
      </c>
    </row>
    <row r="263" spans="1:6" x14ac:dyDescent="0.2">
      <c r="A263" s="49">
        <f t="shared" si="4"/>
        <v>2002</v>
      </c>
      <c r="B263">
        <v>102</v>
      </c>
      <c r="C263" t="s">
        <v>63</v>
      </c>
      <c r="D263" t="s">
        <v>61</v>
      </c>
      <c r="E263" t="s">
        <v>64</v>
      </c>
      <c r="F263">
        <v>6669</v>
      </c>
    </row>
    <row r="264" spans="1:6" x14ac:dyDescent="0.2">
      <c r="A264" s="49">
        <f t="shared" si="4"/>
        <v>2002</v>
      </c>
      <c r="B264">
        <v>102</v>
      </c>
      <c r="C264" t="s">
        <v>67</v>
      </c>
      <c r="D264" t="s">
        <v>66</v>
      </c>
      <c r="E264" t="s">
        <v>64</v>
      </c>
      <c r="F264">
        <v>1038</v>
      </c>
    </row>
    <row r="265" spans="1:6" x14ac:dyDescent="0.2">
      <c r="A265" s="49">
        <f t="shared" si="4"/>
        <v>2002</v>
      </c>
      <c r="B265">
        <v>102</v>
      </c>
      <c r="C265" t="s">
        <v>71</v>
      </c>
      <c r="D265" t="s">
        <v>69</v>
      </c>
      <c r="E265" t="s">
        <v>72</v>
      </c>
      <c r="F265">
        <v>3291</v>
      </c>
    </row>
    <row r="266" spans="1:6" x14ac:dyDescent="0.2">
      <c r="A266" s="49">
        <f t="shared" si="4"/>
        <v>2002</v>
      </c>
      <c r="B266">
        <v>102</v>
      </c>
      <c r="C266" t="s">
        <v>75</v>
      </c>
      <c r="D266" t="s">
        <v>76</v>
      </c>
      <c r="E266" t="s">
        <v>77</v>
      </c>
      <c r="F266">
        <v>2008</v>
      </c>
    </row>
    <row r="267" spans="1:6" x14ac:dyDescent="0.2">
      <c r="A267" s="49">
        <f t="shared" si="4"/>
        <v>2002</v>
      </c>
      <c r="B267">
        <v>102</v>
      </c>
      <c r="C267" t="s">
        <v>78</v>
      </c>
      <c r="D267" t="s">
        <v>76</v>
      </c>
      <c r="E267" t="s">
        <v>79</v>
      </c>
      <c r="F267">
        <v>260</v>
      </c>
    </row>
    <row r="268" spans="1:6" x14ac:dyDescent="0.2">
      <c r="A268" s="49">
        <f t="shared" si="4"/>
        <v>2002</v>
      </c>
      <c r="B268">
        <v>102</v>
      </c>
      <c r="C268" t="s">
        <v>80</v>
      </c>
      <c r="D268" t="s">
        <v>76</v>
      </c>
      <c r="E268" t="s">
        <v>81</v>
      </c>
      <c r="F268">
        <v>925</v>
      </c>
    </row>
    <row r="269" spans="1:6" x14ac:dyDescent="0.2">
      <c r="A269" s="49">
        <f t="shared" si="4"/>
        <v>2003</v>
      </c>
      <c r="B269">
        <v>103</v>
      </c>
      <c r="C269" t="s">
        <v>63</v>
      </c>
      <c r="D269" t="s">
        <v>61</v>
      </c>
      <c r="E269" t="s">
        <v>64</v>
      </c>
      <c r="F269">
        <v>3199</v>
      </c>
    </row>
    <row r="270" spans="1:6" x14ac:dyDescent="0.2">
      <c r="A270" s="49">
        <f t="shared" si="4"/>
        <v>2003</v>
      </c>
      <c r="B270">
        <v>103</v>
      </c>
      <c r="C270" t="s">
        <v>67</v>
      </c>
      <c r="D270" t="s">
        <v>66</v>
      </c>
      <c r="E270" t="s">
        <v>64</v>
      </c>
      <c r="F270">
        <v>2263</v>
      </c>
    </row>
    <row r="271" spans="1:6" x14ac:dyDescent="0.2">
      <c r="A271" s="49">
        <f t="shared" si="4"/>
        <v>2003</v>
      </c>
      <c r="B271">
        <v>103</v>
      </c>
      <c r="C271" t="s">
        <v>70</v>
      </c>
      <c r="D271" t="s">
        <v>69</v>
      </c>
      <c r="E271" t="s">
        <v>64</v>
      </c>
      <c r="F271">
        <v>12018</v>
      </c>
    </row>
    <row r="272" spans="1:6" x14ac:dyDescent="0.2">
      <c r="A272" s="49">
        <f t="shared" si="4"/>
        <v>2003</v>
      </c>
      <c r="B272">
        <v>103</v>
      </c>
      <c r="C272" t="s">
        <v>71</v>
      </c>
      <c r="D272" t="s">
        <v>69</v>
      </c>
      <c r="E272" t="s">
        <v>72</v>
      </c>
      <c r="F272">
        <v>3277</v>
      </c>
    </row>
    <row r="273" spans="1:6" x14ac:dyDescent="0.2">
      <c r="A273" s="49">
        <f t="shared" si="4"/>
        <v>2003</v>
      </c>
      <c r="B273">
        <v>103</v>
      </c>
      <c r="C273" t="s">
        <v>75</v>
      </c>
      <c r="D273" t="s">
        <v>76</v>
      </c>
      <c r="E273" t="s">
        <v>77</v>
      </c>
      <c r="F273">
        <v>12048</v>
      </c>
    </row>
    <row r="274" spans="1:6" x14ac:dyDescent="0.2">
      <c r="A274" s="49">
        <f t="shared" si="4"/>
        <v>2003</v>
      </c>
      <c r="B274">
        <v>103</v>
      </c>
      <c r="C274" t="s">
        <v>78</v>
      </c>
      <c r="D274" t="s">
        <v>76</v>
      </c>
      <c r="E274" t="s">
        <v>79</v>
      </c>
      <c r="F274">
        <v>3109</v>
      </c>
    </row>
    <row r="275" spans="1:6" x14ac:dyDescent="0.2">
      <c r="A275" s="49">
        <f t="shared" si="4"/>
        <v>2003</v>
      </c>
      <c r="B275">
        <v>103</v>
      </c>
      <c r="C275" t="s">
        <v>80</v>
      </c>
      <c r="D275" t="s">
        <v>76</v>
      </c>
      <c r="E275" t="s">
        <v>81</v>
      </c>
      <c r="F275">
        <v>1116</v>
      </c>
    </row>
    <row r="276" spans="1:6" x14ac:dyDescent="0.2">
      <c r="A276" s="49">
        <f t="shared" si="4"/>
        <v>2004</v>
      </c>
      <c r="B276">
        <v>104</v>
      </c>
      <c r="C276" t="s">
        <v>63</v>
      </c>
      <c r="D276" t="s">
        <v>61</v>
      </c>
      <c r="E276" t="s">
        <v>64</v>
      </c>
      <c r="F276">
        <v>7055</v>
      </c>
    </row>
    <row r="277" spans="1:6" x14ac:dyDescent="0.2">
      <c r="A277" s="49">
        <f t="shared" si="4"/>
        <v>2004</v>
      </c>
      <c r="B277">
        <v>104</v>
      </c>
      <c r="C277" t="s">
        <v>67</v>
      </c>
      <c r="D277" t="s">
        <v>66</v>
      </c>
      <c r="E277" t="s">
        <v>64</v>
      </c>
      <c r="F277">
        <v>3884</v>
      </c>
    </row>
    <row r="278" spans="1:6" x14ac:dyDescent="0.2">
      <c r="A278" s="49">
        <f t="shared" si="4"/>
        <v>2004</v>
      </c>
      <c r="B278">
        <v>104</v>
      </c>
      <c r="C278" t="s">
        <v>70</v>
      </c>
      <c r="D278" t="s">
        <v>69</v>
      </c>
      <c r="E278" t="s">
        <v>64</v>
      </c>
      <c r="F278">
        <v>5545</v>
      </c>
    </row>
    <row r="279" spans="1:6" x14ac:dyDescent="0.2">
      <c r="A279" s="49">
        <f t="shared" si="4"/>
        <v>2004</v>
      </c>
      <c r="B279">
        <v>104</v>
      </c>
      <c r="C279" t="s">
        <v>75</v>
      </c>
      <c r="D279" t="s">
        <v>76</v>
      </c>
      <c r="E279" t="s">
        <v>77</v>
      </c>
      <c r="F279">
        <v>6528</v>
      </c>
    </row>
    <row r="280" spans="1:6" x14ac:dyDescent="0.2">
      <c r="A280" s="49">
        <f t="shared" si="4"/>
        <v>2004</v>
      </c>
      <c r="B280">
        <v>104</v>
      </c>
      <c r="C280" t="s">
        <v>78</v>
      </c>
      <c r="D280" t="s">
        <v>76</v>
      </c>
      <c r="E280" t="s">
        <v>79</v>
      </c>
      <c r="F280">
        <v>2052</v>
      </c>
    </row>
    <row r="281" spans="1:6" x14ac:dyDescent="0.2">
      <c r="A281" s="49">
        <f t="shared" si="4"/>
        <v>2004</v>
      </c>
      <c r="B281">
        <v>104</v>
      </c>
      <c r="C281" t="s">
        <v>80</v>
      </c>
      <c r="D281" t="s">
        <v>76</v>
      </c>
      <c r="E281" t="s">
        <v>81</v>
      </c>
      <c r="F281">
        <v>4175</v>
      </c>
    </row>
    <row r="282" spans="1:6" x14ac:dyDescent="0.2">
      <c r="A282" s="49">
        <f t="shared" si="4"/>
        <v>2005</v>
      </c>
      <c r="B282">
        <v>105</v>
      </c>
      <c r="C282" t="s">
        <v>63</v>
      </c>
      <c r="D282" t="s">
        <v>61</v>
      </c>
      <c r="E282" t="s">
        <v>64</v>
      </c>
      <c r="F282">
        <v>3380</v>
      </c>
    </row>
    <row r="283" spans="1:6" x14ac:dyDescent="0.2">
      <c r="A283" s="49">
        <f t="shared" si="4"/>
        <v>2005</v>
      </c>
      <c r="B283">
        <v>105</v>
      </c>
      <c r="C283" t="s">
        <v>67</v>
      </c>
      <c r="D283" t="s">
        <v>66</v>
      </c>
      <c r="E283" t="s">
        <v>64</v>
      </c>
      <c r="F283">
        <v>1364</v>
      </c>
    </row>
    <row r="284" spans="1:6" x14ac:dyDescent="0.2">
      <c r="A284" s="49">
        <f t="shared" si="4"/>
        <v>2005</v>
      </c>
      <c r="B284">
        <v>105</v>
      </c>
      <c r="C284" t="s">
        <v>70</v>
      </c>
      <c r="D284" t="s">
        <v>69</v>
      </c>
      <c r="E284" t="s">
        <v>64</v>
      </c>
      <c r="F284">
        <v>5614</v>
      </c>
    </row>
    <row r="285" spans="1:6" x14ac:dyDescent="0.2">
      <c r="A285" s="49">
        <f t="shared" si="4"/>
        <v>2005</v>
      </c>
      <c r="B285">
        <v>105</v>
      </c>
      <c r="C285" t="s">
        <v>75</v>
      </c>
      <c r="D285" t="s">
        <v>76</v>
      </c>
      <c r="E285" t="s">
        <v>77</v>
      </c>
      <c r="F285">
        <v>498</v>
      </c>
    </row>
    <row r="286" spans="1:6" x14ac:dyDescent="0.2">
      <c r="A286" s="49">
        <f t="shared" si="4"/>
        <v>2005</v>
      </c>
      <c r="B286">
        <v>105</v>
      </c>
      <c r="C286" t="s">
        <v>78</v>
      </c>
      <c r="D286" t="s">
        <v>76</v>
      </c>
      <c r="E286" t="s">
        <v>79</v>
      </c>
      <c r="F286">
        <v>3999</v>
      </c>
    </row>
    <row r="287" spans="1:6" x14ac:dyDescent="0.2">
      <c r="A287" s="49">
        <f t="shared" si="4"/>
        <v>2005</v>
      </c>
      <c r="B287">
        <v>105</v>
      </c>
      <c r="C287" t="s">
        <v>80</v>
      </c>
      <c r="D287" t="s">
        <v>76</v>
      </c>
      <c r="E287" t="s">
        <v>81</v>
      </c>
      <c r="F287">
        <v>4822</v>
      </c>
    </row>
    <row r="288" spans="1:6" x14ac:dyDescent="0.2">
      <c r="A288" s="49">
        <f t="shared" si="4"/>
        <v>2006</v>
      </c>
      <c r="B288">
        <v>106</v>
      </c>
      <c r="C288" t="s">
        <v>60</v>
      </c>
      <c r="D288" t="s">
        <v>61</v>
      </c>
      <c r="E288" t="s">
        <v>62</v>
      </c>
      <c r="F288">
        <v>6311</v>
      </c>
    </row>
    <row r="289" spans="1:6" x14ac:dyDescent="0.2">
      <c r="A289" s="49">
        <f t="shared" si="4"/>
        <v>2006</v>
      </c>
      <c r="B289">
        <v>106</v>
      </c>
      <c r="C289" t="s">
        <v>63</v>
      </c>
      <c r="D289" t="s">
        <v>61</v>
      </c>
      <c r="E289" t="s">
        <v>64</v>
      </c>
      <c r="F289">
        <v>2312</v>
      </c>
    </row>
    <row r="290" spans="1:6" x14ac:dyDescent="0.2">
      <c r="A290" s="49">
        <f t="shared" si="4"/>
        <v>2006</v>
      </c>
      <c r="B290">
        <v>106</v>
      </c>
      <c r="C290" t="s">
        <v>67</v>
      </c>
      <c r="D290" t="s">
        <v>66</v>
      </c>
      <c r="E290" t="s">
        <v>64</v>
      </c>
      <c r="F290">
        <v>280</v>
      </c>
    </row>
    <row r="291" spans="1:6" x14ac:dyDescent="0.2">
      <c r="A291" s="49">
        <f t="shared" si="4"/>
        <v>2006</v>
      </c>
      <c r="B291">
        <v>106</v>
      </c>
      <c r="C291" t="s">
        <v>70</v>
      </c>
      <c r="D291" t="s">
        <v>69</v>
      </c>
      <c r="E291" t="s">
        <v>64</v>
      </c>
      <c r="F291">
        <v>2259</v>
      </c>
    </row>
    <row r="292" spans="1:6" x14ac:dyDescent="0.2">
      <c r="A292" s="49">
        <f t="shared" si="4"/>
        <v>2006</v>
      </c>
      <c r="B292">
        <v>106</v>
      </c>
      <c r="C292" t="s">
        <v>75</v>
      </c>
      <c r="D292" t="s">
        <v>76</v>
      </c>
      <c r="E292" t="s">
        <v>77</v>
      </c>
      <c r="F292">
        <v>10858</v>
      </c>
    </row>
    <row r="293" spans="1:6" x14ac:dyDescent="0.2">
      <c r="A293" s="49">
        <f t="shared" si="4"/>
        <v>2006</v>
      </c>
      <c r="B293">
        <v>106</v>
      </c>
      <c r="C293" t="s">
        <v>78</v>
      </c>
      <c r="D293" t="s">
        <v>76</v>
      </c>
      <c r="E293" t="s">
        <v>79</v>
      </c>
      <c r="F293">
        <v>2700</v>
      </c>
    </row>
    <row r="294" spans="1:6" x14ac:dyDescent="0.2">
      <c r="A294" s="49">
        <f t="shared" si="4"/>
        <v>2006</v>
      </c>
      <c r="B294">
        <v>106</v>
      </c>
      <c r="C294" t="s">
        <v>80</v>
      </c>
      <c r="D294" t="s">
        <v>76</v>
      </c>
      <c r="E294" t="s">
        <v>81</v>
      </c>
      <c r="F294">
        <v>2106</v>
      </c>
    </row>
    <row r="295" spans="1:6" x14ac:dyDescent="0.2">
      <c r="A295" s="49">
        <f t="shared" si="4"/>
        <v>2007</v>
      </c>
      <c r="B295">
        <v>107</v>
      </c>
      <c r="C295" t="s">
        <v>63</v>
      </c>
      <c r="D295" t="s">
        <v>61</v>
      </c>
      <c r="E295" t="s">
        <v>64</v>
      </c>
      <c r="F295">
        <v>1753</v>
      </c>
    </row>
    <row r="296" spans="1:6" x14ac:dyDescent="0.2">
      <c r="A296" s="49">
        <f t="shared" si="4"/>
        <v>2007</v>
      </c>
      <c r="B296">
        <v>107</v>
      </c>
      <c r="C296" t="s">
        <v>67</v>
      </c>
      <c r="D296" t="s">
        <v>66</v>
      </c>
      <c r="E296" t="s">
        <v>64</v>
      </c>
      <c r="F296">
        <v>1304</v>
      </c>
    </row>
    <row r="297" spans="1:6" x14ac:dyDescent="0.2">
      <c r="A297" s="49">
        <f t="shared" si="4"/>
        <v>2007</v>
      </c>
      <c r="B297">
        <v>107</v>
      </c>
      <c r="C297" t="s">
        <v>70</v>
      </c>
      <c r="D297" t="s">
        <v>69</v>
      </c>
      <c r="E297" t="s">
        <v>64</v>
      </c>
      <c r="F297">
        <v>291</v>
      </c>
    </row>
    <row r="298" spans="1:6" x14ac:dyDescent="0.2">
      <c r="A298" s="49">
        <f t="shared" si="4"/>
        <v>2007</v>
      </c>
      <c r="B298">
        <v>107</v>
      </c>
      <c r="C298" t="s">
        <v>75</v>
      </c>
      <c r="D298" t="s">
        <v>76</v>
      </c>
      <c r="E298" t="s">
        <v>77</v>
      </c>
      <c r="F298">
        <v>4443</v>
      </c>
    </row>
    <row r="299" spans="1:6" x14ac:dyDescent="0.2">
      <c r="A299" s="49">
        <f t="shared" si="4"/>
        <v>2007</v>
      </c>
      <c r="B299">
        <v>107</v>
      </c>
      <c r="C299" t="s">
        <v>78</v>
      </c>
      <c r="D299" t="s">
        <v>76</v>
      </c>
      <c r="E299" t="s">
        <v>79</v>
      </c>
      <c r="F299">
        <v>2439</v>
      </c>
    </row>
    <row r="300" spans="1:6" x14ac:dyDescent="0.2">
      <c r="A300" s="49">
        <f t="shared" si="4"/>
        <v>2007</v>
      </c>
      <c r="B300">
        <v>107</v>
      </c>
      <c r="C300" t="s">
        <v>80</v>
      </c>
      <c r="D300" t="s">
        <v>76</v>
      </c>
      <c r="E300" t="s">
        <v>81</v>
      </c>
      <c r="F300">
        <v>3854</v>
      </c>
    </row>
    <row r="301" spans="1:6" x14ac:dyDescent="0.2">
      <c r="A301" s="49">
        <f t="shared" si="4"/>
        <v>2008</v>
      </c>
      <c r="B301">
        <v>108</v>
      </c>
      <c r="C301" t="s">
        <v>60</v>
      </c>
      <c r="D301" t="s">
        <v>61</v>
      </c>
      <c r="E301" t="s">
        <v>62</v>
      </c>
      <c r="F301">
        <v>4978</v>
      </c>
    </row>
    <row r="302" spans="1:6" x14ac:dyDescent="0.2">
      <c r="A302" s="49">
        <f t="shared" si="4"/>
        <v>2008</v>
      </c>
      <c r="B302">
        <v>108</v>
      </c>
      <c r="C302" t="s">
        <v>63</v>
      </c>
      <c r="D302" t="s">
        <v>61</v>
      </c>
      <c r="E302" t="s">
        <v>64</v>
      </c>
      <c r="F302">
        <v>6875</v>
      </c>
    </row>
    <row r="303" spans="1:6" x14ac:dyDescent="0.2">
      <c r="A303" s="49">
        <f t="shared" si="4"/>
        <v>2008</v>
      </c>
      <c r="B303">
        <v>108</v>
      </c>
      <c r="C303" t="s">
        <v>67</v>
      </c>
      <c r="D303" t="s">
        <v>66</v>
      </c>
      <c r="E303" t="s">
        <v>64</v>
      </c>
      <c r="F303">
        <v>533</v>
      </c>
    </row>
    <row r="304" spans="1:6" x14ac:dyDescent="0.2">
      <c r="A304" s="49">
        <f t="shared" si="4"/>
        <v>2008</v>
      </c>
      <c r="B304">
        <v>108</v>
      </c>
      <c r="C304" t="s">
        <v>70</v>
      </c>
      <c r="D304" t="s">
        <v>69</v>
      </c>
      <c r="E304" t="s">
        <v>64</v>
      </c>
      <c r="F304">
        <v>11201</v>
      </c>
    </row>
    <row r="305" spans="1:6" x14ac:dyDescent="0.2">
      <c r="A305" s="49">
        <f t="shared" si="4"/>
        <v>2008</v>
      </c>
      <c r="B305">
        <v>108</v>
      </c>
      <c r="C305" t="s">
        <v>75</v>
      </c>
      <c r="D305" t="s">
        <v>76</v>
      </c>
      <c r="E305" t="s">
        <v>77</v>
      </c>
      <c r="F305">
        <v>8426</v>
      </c>
    </row>
    <row r="306" spans="1:6" x14ac:dyDescent="0.2">
      <c r="A306" s="49">
        <f t="shared" si="4"/>
        <v>2008</v>
      </c>
      <c r="B306">
        <v>108</v>
      </c>
      <c r="C306" t="s">
        <v>78</v>
      </c>
      <c r="D306" t="s">
        <v>76</v>
      </c>
      <c r="E306" t="s">
        <v>79</v>
      </c>
      <c r="F306">
        <v>2317</v>
      </c>
    </row>
    <row r="307" spans="1:6" x14ac:dyDescent="0.2">
      <c r="A307" s="49">
        <f t="shared" si="4"/>
        <v>2008</v>
      </c>
      <c r="B307">
        <v>108</v>
      </c>
      <c r="C307" t="s">
        <v>80</v>
      </c>
      <c r="D307" t="s">
        <v>76</v>
      </c>
      <c r="E307" t="s">
        <v>81</v>
      </c>
      <c r="F307">
        <v>4008</v>
      </c>
    </row>
    <row r="308" spans="1:6" x14ac:dyDescent="0.2">
      <c r="A308" s="49">
        <f t="shared" si="4"/>
        <v>2009</v>
      </c>
      <c r="B308">
        <v>109</v>
      </c>
      <c r="C308" t="s">
        <v>63</v>
      </c>
      <c r="D308" t="s">
        <v>61</v>
      </c>
      <c r="E308" t="s">
        <v>64</v>
      </c>
      <c r="F308">
        <v>7543</v>
      </c>
    </row>
    <row r="309" spans="1:6" x14ac:dyDescent="0.2">
      <c r="A309" s="49">
        <f t="shared" si="4"/>
        <v>2009</v>
      </c>
      <c r="B309">
        <v>109</v>
      </c>
      <c r="C309" t="s">
        <v>67</v>
      </c>
      <c r="D309" t="s">
        <v>66</v>
      </c>
      <c r="E309" t="s">
        <v>64</v>
      </c>
      <c r="F309">
        <v>4629</v>
      </c>
    </row>
    <row r="310" spans="1:6" x14ac:dyDescent="0.2">
      <c r="A310" s="49">
        <f t="shared" si="4"/>
        <v>2009</v>
      </c>
      <c r="B310">
        <v>109</v>
      </c>
      <c r="C310" t="s">
        <v>70</v>
      </c>
      <c r="D310" t="s">
        <v>69</v>
      </c>
      <c r="E310" t="s">
        <v>64</v>
      </c>
      <c r="F310">
        <v>4219</v>
      </c>
    </row>
    <row r="311" spans="1:6" x14ac:dyDescent="0.2">
      <c r="A311" s="49">
        <f t="shared" si="4"/>
        <v>2009</v>
      </c>
      <c r="B311">
        <v>109</v>
      </c>
      <c r="C311" t="s">
        <v>75</v>
      </c>
      <c r="D311" t="s">
        <v>76</v>
      </c>
      <c r="E311" t="s">
        <v>77</v>
      </c>
      <c r="F311">
        <v>15295</v>
      </c>
    </row>
    <row r="312" spans="1:6" x14ac:dyDescent="0.2">
      <c r="A312" s="49">
        <f t="shared" si="4"/>
        <v>2009</v>
      </c>
      <c r="B312">
        <v>109</v>
      </c>
      <c r="C312" t="s">
        <v>78</v>
      </c>
      <c r="D312" t="s">
        <v>76</v>
      </c>
      <c r="E312" t="s">
        <v>79</v>
      </c>
      <c r="F312">
        <v>14712</v>
      </c>
    </row>
    <row r="313" spans="1:6" x14ac:dyDescent="0.2">
      <c r="A313" s="49">
        <f t="shared" si="4"/>
        <v>2009</v>
      </c>
      <c r="B313">
        <v>109</v>
      </c>
      <c r="C313" t="s">
        <v>80</v>
      </c>
      <c r="D313" t="s">
        <v>76</v>
      </c>
      <c r="E313" t="s">
        <v>81</v>
      </c>
      <c r="F313">
        <v>1689</v>
      </c>
    </row>
    <row r="314" spans="1:6" x14ac:dyDescent="0.2">
      <c r="A314" s="49">
        <f t="shared" si="4"/>
        <v>2010</v>
      </c>
      <c r="B314">
        <v>110</v>
      </c>
      <c r="C314" t="s">
        <v>63</v>
      </c>
      <c r="D314" t="s">
        <v>61</v>
      </c>
      <c r="E314" t="s">
        <v>64</v>
      </c>
      <c r="F314">
        <v>2362</v>
      </c>
    </row>
    <row r="315" spans="1:6" x14ac:dyDescent="0.2">
      <c r="A315" s="49">
        <f t="shared" si="4"/>
        <v>2010</v>
      </c>
      <c r="B315">
        <v>110</v>
      </c>
      <c r="C315" t="s">
        <v>67</v>
      </c>
      <c r="D315" t="s">
        <v>66</v>
      </c>
      <c r="E315" t="s">
        <v>64</v>
      </c>
      <c r="F315">
        <v>1493</v>
      </c>
    </row>
    <row r="316" spans="1:6" x14ac:dyDescent="0.2">
      <c r="A316" s="49">
        <f t="shared" si="4"/>
        <v>2010</v>
      </c>
      <c r="B316">
        <v>110</v>
      </c>
      <c r="C316" t="s">
        <v>70</v>
      </c>
      <c r="D316" t="s">
        <v>69</v>
      </c>
      <c r="E316" t="s">
        <v>64</v>
      </c>
      <c r="F316">
        <v>2317</v>
      </c>
    </row>
    <row r="317" spans="1:6" x14ac:dyDescent="0.2">
      <c r="A317" s="49">
        <f t="shared" si="4"/>
        <v>2010</v>
      </c>
      <c r="B317">
        <v>110</v>
      </c>
      <c r="C317" t="s">
        <v>75</v>
      </c>
      <c r="D317" t="s">
        <v>76</v>
      </c>
      <c r="E317" t="s">
        <v>77</v>
      </c>
      <c r="F317">
        <v>7493</v>
      </c>
    </row>
    <row r="318" spans="1:6" x14ac:dyDescent="0.2">
      <c r="A318" s="49">
        <f t="shared" si="4"/>
        <v>2010</v>
      </c>
      <c r="B318">
        <v>110</v>
      </c>
      <c r="C318" t="s">
        <v>78</v>
      </c>
      <c r="D318" t="s">
        <v>76</v>
      </c>
      <c r="E318" t="s">
        <v>79</v>
      </c>
      <c r="F318">
        <v>13230</v>
      </c>
    </row>
    <row r="319" spans="1:6" x14ac:dyDescent="0.2">
      <c r="A319" s="49">
        <f t="shared" si="4"/>
        <v>2010</v>
      </c>
      <c r="B319">
        <v>110</v>
      </c>
      <c r="C319" t="s">
        <v>80</v>
      </c>
      <c r="D319" t="s">
        <v>76</v>
      </c>
      <c r="E319" t="s">
        <v>81</v>
      </c>
      <c r="F319">
        <v>8073</v>
      </c>
    </row>
    <row r="320" spans="1:6" x14ac:dyDescent="0.2">
      <c r="A320" s="49">
        <f t="shared" si="4"/>
        <v>2011</v>
      </c>
      <c r="B320">
        <v>111</v>
      </c>
      <c r="C320" t="s">
        <v>63</v>
      </c>
      <c r="D320" t="s">
        <v>61</v>
      </c>
      <c r="E320" t="s">
        <v>64</v>
      </c>
      <c r="F320">
        <v>3831</v>
      </c>
    </row>
    <row r="321" spans="1:6" x14ac:dyDescent="0.2">
      <c r="A321" s="49">
        <f t="shared" si="4"/>
        <v>2011</v>
      </c>
      <c r="B321">
        <v>111</v>
      </c>
      <c r="C321" t="s">
        <v>67</v>
      </c>
      <c r="D321" t="s">
        <v>66</v>
      </c>
      <c r="E321" t="s">
        <v>64</v>
      </c>
      <c r="F321">
        <v>2839</v>
      </c>
    </row>
    <row r="322" spans="1:6" x14ac:dyDescent="0.2">
      <c r="A322" s="49">
        <f t="shared" si="4"/>
        <v>2011</v>
      </c>
      <c r="B322">
        <v>111</v>
      </c>
      <c r="C322" t="s">
        <v>70</v>
      </c>
      <c r="D322" t="s">
        <v>69</v>
      </c>
      <c r="E322" t="s">
        <v>64</v>
      </c>
      <c r="F322">
        <v>17766</v>
      </c>
    </row>
    <row r="323" spans="1:6" x14ac:dyDescent="0.2">
      <c r="A323" s="49">
        <f t="shared" ref="A323:A348" si="5">1900+B323</f>
        <v>2011</v>
      </c>
      <c r="B323">
        <v>111</v>
      </c>
      <c r="C323" t="s">
        <v>75</v>
      </c>
      <c r="D323" t="s">
        <v>76</v>
      </c>
      <c r="E323" t="s">
        <v>77</v>
      </c>
      <c r="F323">
        <v>5461</v>
      </c>
    </row>
    <row r="324" spans="1:6" x14ac:dyDescent="0.2">
      <c r="A324" s="49">
        <f t="shared" si="5"/>
        <v>2011</v>
      </c>
      <c r="B324">
        <v>111</v>
      </c>
      <c r="C324" t="s">
        <v>78</v>
      </c>
      <c r="D324" t="s">
        <v>76</v>
      </c>
      <c r="E324" t="s">
        <v>79</v>
      </c>
      <c r="F324">
        <v>6160</v>
      </c>
    </row>
    <row r="325" spans="1:6" x14ac:dyDescent="0.2">
      <c r="A325" s="49">
        <f t="shared" si="5"/>
        <v>2011</v>
      </c>
      <c r="B325">
        <v>111</v>
      </c>
      <c r="C325" t="s">
        <v>80</v>
      </c>
      <c r="D325" t="s">
        <v>76</v>
      </c>
      <c r="E325" t="s">
        <v>81</v>
      </c>
      <c r="F325">
        <v>1215</v>
      </c>
    </row>
    <row r="326" spans="1:6" x14ac:dyDescent="0.2">
      <c r="A326" s="49">
        <f t="shared" si="5"/>
        <v>2012</v>
      </c>
      <c r="B326">
        <v>112</v>
      </c>
      <c r="C326" t="s">
        <v>63</v>
      </c>
      <c r="D326" t="s">
        <v>61</v>
      </c>
      <c r="E326" t="s">
        <v>64</v>
      </c>
      <c r="F326">
        <v>19552</v>
      </c>
    </row>
    <row r="327" spans="1:6" x14ac:dyDescent="0.2">
      <c r="A327" s="49">
        <f t="shared" si="5"/>
        <v>2012</v>
      </c>
      <c r="B327">
        <v>112</v>
      </c>
      <c r="C327" t="s">
        <v>67</v>
      </c>
      <c r="D327" t="s">
        <v>66</v>
      </c>
      <c r="E327" t="s">
        <v>64</v>
      </c>
      <c r="F327">
        <v>5856</v>
      </c>
    </row>
    <row r="328" spans="1:6" x14ac:dyDescent="0.2">
      <c r="A328" s="49">
        <f t="shared" si="5"/>
        <v>2012</v>
      </c>
      <c r="B328">
        <v>112</v>
      </c>
      <c r="C328" t="s">
        <v>70</v>
      </c>
      <c r="D328" t="s">
        <v>69</v>
      </c>
      <c r="E328" t="s">
        <v>64</v>
      </c>
      <c r="F328">
        <v>517</v>
      </c>
    </row>
    <row r="329" spans="1:6" x14ac:dyDescent="0.2">
      <c r="A329" s="49">
        <f t="shared" si="5"/>
        <v>2012</v>
      </c>
      <c r="B329">
        <v>112</v>
      </c>
      <c r="C329" t="s">
        <v>75</v>
      </c>
      <c r="D329" t="s">
        <v>76</v>
      </c>
      <c r="E329" t="s">
        <v>77</v>
      </c>
      <c r="F329">
        <v>22768</v>
      </c>
    </row>
    <row r="330" spans="1:6" x14ac:dyDescent="0.2">
      <c r="A330" s="49">
        <f t="shared" si="5"/>
        <v>2012</v>
      </c>
      <c r="B330">
        <v>112</v>
      </c>
      <c r="C330" t="s">
        <v>78</v>
      </c>
      <c r="D330" t="s">
        <v>76</v>
      </c>
      <c r="E330" t="s">
        <v>79</v>
      </c>
      <c r="F330">
        <v>11103</v>
      </c>
    </row>
    <row r="331" spans="1:6" x14ac:dyDescent="0.2">
      <c r="A331" s="49">
        <f t="shared" si="5"/>
        <v>2012</v>
      </c>
      <c r="B331">
        <v>112</v>
      </c>
      <c r="C331" t="s">
        <v>80</v>
      </c>
      <c r="D331" t="s">
        <v>76</v>
      </c>
      <c r="E331" t="s">
        <v>81</v>
      </c>
      <c r="F331">
        <v>3285</v>
      </c>
    </row>
    <row r="332" spans="1:6" x14ac:dyDescent="0.2">
      <c r="A332" s="49">
        <f t="shared" si="5"/>
        <v>2013</v>
      </c>
      <c r="B332">
        <v>113</v>
      </c>
      <c r="C332" t="s">
        <v>63</v>
      </c>
      <c r="D332" t="s">
        <v>61</v>
      </c>
      <c r="E332" t="s">
        <v>64</v>
      </c>
      <c r="F332">
        <v>21282</v>
      </c>
    </row>
    <row r="333" spans="1:6" x14ac:dyDescent="0.2">
      <c r="A333" s="49">
        <f t="shared" si="5"/>
        <v>2013</v>
      </c>
      <c r="B333">
        <v>113</v>
      </c>
      <c r="C333" t="s">
        <v>67</v>
      </c>
      <c r="D333" t="s">
        <v>66</v>
      </c>
      <c r="E333" t="s">
        <v>64</v>
      </c>
      <c r="F333">
        <v>8618</v>
      </c>
    </row>
    <row r="334" spans="1:6" x14ac:dyDescent="0.2">
      <c r="A334" s="49">
        <f t="shared" si="5"/>
        <v>2013</v>
      </c>
      <c r="B334">
        <v>113</v>
      </c>
      <c r="C334" t="s">
        <v>70</v>
      </c>
      <c r="D334" t="s">
        <v>69</v>
      </c>
      <c r="E334" t="s">
        <v>64</v>
      </c>
      <c r="F334">
        <v>7354</v>
      </c>
    </row>
    <row r="335" spans="1:6" x14ac:dyDescent="0.2">
      <c r="A335" s="49">
        <f t="shared" si="5"/>
        <v>2013</v>
      </c>
      <c r="B335">
        <v>113</v>
      </c>
      <c r="C335" t="s">
        <v>75</v>
      </c>
      <c r="D335" t="s">
        <v>76</v>
      </c>
      <c r="E335" t="s">
        <v>77</v>
      </c>
      <c r="F335">
        <v>5</v>
      </c>
    </row>
    <row r="336" spans="1:6" x14ac:dyDescent="0.2">
      <c r="A336" s="49">
        <f t="shared" si="5"/>
        <v>2013</v>
      </c>
      <c r="B336">
        <v>113</v>
      </c>
      <c r="C336" t="s">
        <v>78</v>
      </c>
      <c r="D336" t="s">
        <v>76</v>
      </c>
      <c r="E336" t="s">
        <v>79</v>
      </c>
      <c r="F336">
        <v>9314</v>
      </c>
    </row>
    <row r="337" spans="1:6" x14ac:dyDescent="0.2">
      <c r="A337" s="49">
        <f t="shared" si="5"/>
        <v>2013</v>
      </c>
      <c r="B337">
        <v>113</v>
      </c>
      <c r="C337" t="s">
        <v>80</v>
      </c>
      <c r="D337" t="s">
        <v>76</v>
      </c>
      <c r="E337" t="s">
        <v>81</v>
      </c>
      <c r="F337">
        <v>2957</v>
      </c>
    </row>
    <row r="338" spans="1:6" x14ac:dyDescent="0.2">
      <c r="A338" s="49">
        <f t="shared" si="5"/>
        <v>2014</v>
      </c>
      <c r="B338">
        <v>114</v>
      </c>
      <c r="C338" t="s">
        <v>63</v>
      </c>
      <c r="D338" t="s">
        <v>61</v>
      </c>
      <c r="E338" t="s">
        <v>64</v>
      </c>
      <c r="F338">
        <v>6604</v>
      </c>
    </row>
    <row r="339" spans="1:6" x14ac:dyDescent="0.2">
      <c r="A339" s="49">
        <f t="shared" si="5"/>
        <v>2014</v>
      </c>
      <c r="B339">
        <v>114</v>
      </c>
      <c r="C339" t="s">
        <v>67</v>
      </c>
      <c r="D339" t="s">
        <v>66</v>
      </c>
      <c r="E339" t="s">
        <v>64</v>
      </c>
      <c r="F339">
        <v>5033</v>
      </c>
    </row>
    <row r="340" spans="1:6" x14ac:dyDescent="0.2">
      <c r="A340" s="49">
        <f t="shared" si="5"/>
        <v>2014</v>
      </c>
      <c r="B340">
        <v>114</v>
      </c>
      <c r="C340" t="s">
        <v>70</v>
      </c>
      <c r="D340" t="s">
        <v>69</v>
      </c>
      <c r="E340" t="s">
        <v>64</v>
      </c>
      <c r="F340">
        <v>1149</v>
      </c>
    </row>
    <row r="341" spans="1:6" x14ac:dyDescent="0.2">
      <c r="A341" s="49">
        <f t="shared" si="5"/>
        <v>2014</v>
      </c>
      <c r="B341">
        <v>114</v>
      </c>
      <c r="C341" t="s">
        <v>80</v>
      </c>
      <c r="D341" t="s">
        <v>76</v>
      </c>
      <c r="E341" t="s">
        <v>81</v>
      </c>
      <c r="F341">
        <v>1851</v>
      </c>
    </row>
    <row r="342" spans="1:6" x14ac:dyDescent="0.2">
      <c r="A342" s="57">
        <f t="shared" si="5"/>
        <v>2015</v>
      </c>
      <c r="B342" s="55">
        <v>115</v>
      </c>
      <c r="C342" s="55" t="s">
        <v>63</v>
      </c>
      <c r="D342" s="55" t="s">
        <v>61</v>
      </c>
      <c r="E342" s="55" t="s">
        <v>64</v>
      </c>
      <c r="F342" s="55">
        <v>9631</v>
      </c>
    </row>
    <row r="343" spans="1:6" x14ac:dyDescent="0.2">
      <c r="A343" s="57">
        <f t="shared" si="5"/>
        <v>2015</v>
      </c>
      <c r="B343" s="55">
        <v>115</v>
      </c>
      <c r="C343" s="55" t="s">
        <v>65</v>
      </c>
      <c r="D343" s="55" t="s">
        <v>66</v>
      </c>
      <c r="E343" s="55" t="s">
        <v>62</v>
      </c>
      <c r="F343" s="55">
        <v>17</v>
      </c>
    </row>
    <row r="344" spans="1:6" x14ac:dyDescent="0.2">
      <c r="A344" s="57">
        <f t="shared" si="5"/>
        <v>2015</v>
      </c>
      <c r="B344" s="55">
        <v>115</v>
      </c>
      <c r="C344" s="55" t="s">
        <v>67</v>
      </c>
      <c r="D344" s="55" t="s">
        <v>66</v>
      </c>
      <c r="E344" s="55" t="s">
        <v>64</v>
      </c>
      <c r="F344" s="55">
        <v>3614</v>
      </c>
    </row>
    <row r="345" spans="1:6" x14ac:dyDescent="0.2">
      <c r="A345" s="57">
        <f t="shared" si="5"/>
        <v>2015</v>
      </c>
      <c r="B345" s="55">
        <v>115</v>
      </c>
      <c r="C345" s="55" t="s">
        <v>70</v>
      </c>
      <c r="D345" s="55" t="s">
        <v>69</v>
      </c>
      <c r="E345" s="55" t="s">
        <v>64</v>
      </c>
      <c r="F345" s="55">
        <v>3424</v>
      </c>
    </row>
    <row r="346" spans="1:6" x14ac:dyDescent="0.2">
      <c r="A346" s="57">
        <f t="shared" si="5"/>
        <v>2015</v>
      </c>
      <c r="B346" s="55">
        <v>115</v>
      </c>
      <c r="C346" s="55" t="s">
        <v>75</v>
      </c>
      <c r="D346" s="55" t="s">
        <v>76</v>
      </c>
      <c r="E346" s="55" t="s">
        <v>77</v>
      </c>
      <c r="F346" s="55">
        <v>2011</v>
      </c>
    </row>
    <row r="347" spans="1:6" x14ac:dyDescent="0.2">
      <c r="A347" s="57">
        <f t="shared" si="5"/>
        <v>2015</v>
      </c>
      <c r="B347" s="55">
        <v>115</v>
      </c>
      <c r="C347" s="55" t="s">
        <v>78</v>
      </c>
      <c r="D347" s="55" t="s">
        <v>76</v>
      </c>
      <c r="E347" s="55" t="s">
        <v>79</v>
      </c>
      <c r="F347" s="55">
        <v>1200</v>
      </c>
    </row>
    <row r="348" spans="1:6" x14ac:dyDescent="0.2">
      <c r="A348" s="57">
        <f t="shared" si="5"/>
        <v>2015</v>
      </c>
      <c r="B348" s="55">
        <v>115</v>
      </c>
      <c r="C348" s="55" t="s">
        <v>80</v>
      </c>
      <c r="D348" s="55" t="s">
        <v>76</v>
      </c>
      <c r="E348" s="55" t="s">
        <v>81</v>
      </c>
      <c r="F348" s="55">
        <v>645</v>
      </c>
    </row>
  </sheetData>
  <phoneticPr fontId="0" type="noConversion"/>
  <pageMargins left="0.75" right="0.75" top="1" bottom="1" header="0.5" footer="0.5"/>
  <pageSetup paperSize="9" scale="78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index</vt:lpstr>
      <vt:lpstr>caton</vt:lpstr>
      <vt:lpstr>canum</vt:lpstr>
      <vt:lpstr>weca</vt:lpstr>
      <vt:lpstr>west_raw</vt:lpstr>
      <vt:lpstr>west</vt:lpstr>
      <vt:lpstr>natmor</vt:lpstr>
      <vt:lpstr>natmor2</vt:lpstr>
      <vt:lpstr>matprop</vt:lpstr>
      <vt:lpstr>fprop</vt:lpstr>
      <vt:lpstr>mprop</vt:lpstr>
      <vt:lpstr>fleet</vt:lpstr>
      <vt:lpstr>lai</vt:lpstr>
      <vt:lpstr>canum!Print_Area</vt:lpstr>
      <vt:lpstr>caton!Print_Area</vt:lpstr>
      <vt:lpstr>fleet!Print_Area</vt:lpstr>
      <vt:lpstr>lai!Print_Area</vt:lpstr>
      <vt:lpstr>matprop!Print_Area</vt:lpstr>
      <vt:lpstr>weca!Print_Area</vt:lpstr>
      <vt:lpstr>west!Print_Area</vt:lpstr>
      <vt:lpstr>west_raw!Print_Area</vt:lpstr>
    </vt:vector>
  </TitlesOfParts>
  <Company>RIVO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Herring Fisheries Assessment data 2000</dc:title>
  <dc:creator>Martin Pastoors</dc:creator>
  <cp:lastModifiedBy>Martin Pastoors</cp:lastModifiedBy>
  <cp:lastPrinted>2001-03-18T10:02:21Z</cp:lastPrinted>
  <dcterms:created xsi:type="dcterms:W3CDTF">2000-03-15T08:46:15Z</dcterms:created>
  <dcterms:modified xsi:type="dcterms:W3CDTF">2016-03-23T16:30:15Z</dcterms:modified>
</cp:coreProperties>
</file>